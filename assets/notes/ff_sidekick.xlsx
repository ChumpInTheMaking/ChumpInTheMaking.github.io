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b8c9396c5fe88b/Documents/"/>
    </mc:Choice>
  </mc:AlternateContent>
  <xr:revisionPtr revIDLastSave="1318" documentId="8_{A456FBD1-B12C-43EB-8D64-9ECD61739AE6}" xr6:coauthVersionLast="47" xr6:coauthVersionMax="47" xr10:uidLastSave="{A2A9A1EC-FB7C-47B5-99F2-3349921247CA}"/>
  <bookViews>
    <workbookView xWindow="-120" yWindow="-120" windowWidth="29040" windowHeight="15840" firstSheet="1" activeTab="2" xr2:uid="{90CDD29C-18C8-4C9C-BB9F-AE15C6E8291F}"/>
  </bookViews>
  <sheets>
    <sheet name="Overview" sheetId="1" r:id="rId1"/>
    <sheet name="Encounter Tracking" sheetId="2" r:id="rId2"/>
    <sheet name="Sheet1" sheetId="6" r:id="rId3"/>
    <sheet name="Other Info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8" i="2" l="1" a="1"/>
  <c r="G98" i="2" s="1"/>
  <c r="E98" i="2"/>
  <c r="G96" i="2" a="1"/>
  <c r="G96" i="2" s="1"/>
  <c r="F96" i="2"/>
  <c r="E96" i="2"/>
  <c r="F95" i="2"/>
  <c r="E94" i="2"/>
  <c r="G94" i="2" s="1" a="1"/>
  <c r="G94" i="2" s="1"/>
  <c r="F94" i="2"/>
  <c r="G93" i="2" a="1"/>
  <c r="G93" i="2" s="1"/>
  <c r="F93" i="2"/>
  <c r="E93" i="2"/>
  <c r="G92" i="2" a="1"/>
  <c r="G92" i="2" s="1"/>
  <c r="F92" i="2"/>
  <c r="E92" i="2"/>
  <c r="G91" i="2" a="1"/>
  <c r="G91" i="2" s="1"/>
  <c r="F91" i="2"/>
  <c r="E91" i="2"/>
  <c r="G90" i="2" a="1"/>
  <c r="G90" i="2" s="1"/>
  <c r="F90" i="2"/>
  <c r="E90" i="2"/>
  <c r="G89" i="2" a="1"/>
  <c r="G89" i="2" s="1"/>
  <c r="E88" i="2"/>
  <c r="G88" i="2" s="1" a="1"/>
  <c r="G88" i="2" s="1"/>
  <c r="E87" i="2"/>
  <c r="G87" i="2" s="1" a="1"/>
  <c r="G87" i="2" s="1"/>
  <c r="E86" i="2"/>
  <c r="G86" i="2" s="1" a="1"/>
  <c r="G86" i="2" s="1"/>
  <c r="E85" i="2"/>
  <c r="G85" i="2" s="1" a="1"/>
  <c r="G85" i="2" s="1"/>
  <c r="E84" i="2"/>
  <c r="G84" i="2" s="1" a="1"/>
  <c r="G84" i="2" s="1"/>
  <c r="E81" i="2"/>
  <c r="G81" i="2" s="1" a="1"/>
  <c r="G81" i="2" s="1"/>
  <c r="E80" i="2"/>
  <c r="G80" i="2" s="1" a="1"/>
  <c r="G80" i="2" s="1"/>
  <c r="E79" i="2"/>
  <c r="E77" i="2"/>
  <c r="G77" i="2" s="1" a="1"/>
  <c r="G77" i="2" s="1"/>
  <c r="E76" i="2"/>
  <c r="G76" i="2" s="1" a="1"/>
  <c r="G76" i="2" s="1"/>
  <c r="E74" i="2"/>
  <c r="G74" i="2" s="1" a="1"/>
  <c r="G74" i="2" s="1"/>
  <c r="E73" i="2"/>
  <c r="G73" i="2" s="1" a="1"/>
  <c r="G73" i="2" s="1"/>
  <c r="E72" i="2"/>
  <c r="G72" i="2" s="1" a="1"/>
  <c r="G72" i="2" s="1"/>
  <c r="E71" i="2"/>
  <c r="G71" i="2" s="1" a="1"/>
  <c r="G71" i="2" s="1"/>
  <c r="E70" i="2"/>
  <c r="G70" i="2" s="1" a="1"/>
  <c r="G70" i="2" s="1"/>
  <c r="E67" i="2"/>
  <c r="G67" i="2" s="1" a="1"/>
  <c r="G67" i="2" s="1"/>
  <c r="E66" i="2"/>
  <c r="G66" i="2" s="1" a="1"/>
  <c r="G66" i="2" s="1"/>
  <c r="E65" i="2"/>
  <c r="G65" i="2" s="1" a="1"/>
  <c r="G65" i="2" s="1"/>
  <c r="E64" i="2"/>
  <c r="G64" i="2" s="1" a="1"/>
  <c r="G64" i="2" s="1"/>
  <c r="E60" i="2"/>
  <c r="G60" i="2" s="1" a="1"/>
  <c r="G60" i="2" s="1"/>
  <c r="E61" i="2"/>
  <c r="G61" i="2" s="1" a="1"/>
  <c r="G61" i="2" s="1"/>
  <c r="E58" i="2"/>
  <c r="G58" i="2" s="1" a="1"/>
  <c r="G58" i="2" s="1"/>
  <c r="E57" i="2"/>
  <c r="G57" i="2" s="1" a="1"/>
  <c r="G57" i="2" s="1"/>
  <c r="E56" i="2"/>
  <c r="G56" i="2" s="1" a="1"/>
  <c r="G56" i="2" s="1"/>
  <c r="E54" i="2"/>
  <c r="G54" i="2" s="1" a="1"/>
  <c r="G54" i="2" s="1"/>
  <c r="E52" i="2"/>
  <c r="G52" i="2" s="1" a="1"/>
  <c r="G52" i="2" s="1"/>
  <c r="E51" i="2"/>
  <c r="G51" i="2" s="1" a="1"/>
  <c r="G51" i="2" s="1"/>
  <c r="E50" i="2"/>
  <c r="G50" i="2" s="1" a="1"/>
  <c r="G50" i="2" s="1"/>
  <c r="E49" i="2"/>
  <c r="G49" i="2" s="1" a="1"/>
  <c r="G49" i="2" s="1"/>
  <c r="E48" i="2"/>
  <c r="G48" i="2" s="1" a="1"/>
  <c r="G48" i="2" s="1"/>
  <c r="E45" i="2"/>
  <c r="G45" i="2" s="1" a="1"/>
  <c r="G45" i="2" s="1"/>
  <c r="E44" i="2"/>
  <c r="G44" i="2" s="1" a="1"/>
  <c r="G44" i="2" s="1"/>
  <c r="E43" i="2"/>
  <c r="G43" i="2" s="1" a="1"/>
  <c r="G43" i="2" s="1"/>
  <c r="E42" i="2"/>
  <c r="G42" i="2" s="1" a="1"/>
  <c r="G42" i="2" s="1"/>
  <c r="E40" i="2"/>
  <c r="G40" i="2" s="1" a="1"/>
  <c r="G40" i="2" s="1"/>
  <c r="E39" i="2"/>
  <c r="G39" i="2" s="1" a="1"/>
  <c r="G39" i="2" s="1"/>
  <c r="E38" i="2"/>
  <c r="G38" i="2" s="1" a="1"/>
  <c r="G38" i="2" s="1"/>
  <c r="E37" i="2"/>
  <c r="G37" i="2" s="1" a="1"/>
  <c r="G37" i="2" s="1"/>
  <c r="E36" i="2"/>
  <c r="G36" i="2" s="1" a="1"/>
  <c r="G36" i="2" s="1"/>
  <c r="E33" i="2"/>
  <c r="G33" i="2" s="1" a="1"/>
  <c r="G33" i="2" s="1"/>
  <c r="E32" i="2"/>
  <c r="G32" i="2" s="1" a="1"/>
  <c r="G32" i="2" s="1"/>
  <c r="E31" i="2"/>
  <c r="G31" i="2" s="1" a="1"/>
  <c r="G31" i="2" s="1"/>
  <c r="E29" i="2"/>
  <c r="G29" i="2" s="1" a="1"/>
  <c r="G29" i="2" s="1"/>
  <c r="E27" i="2"/>
  <c r="G27" i="2" s="1" a="1"/>
  <c r="G27" i="2" s="1"/>
  <c r="E26" i="2"/>
  <c r="G26" i="2" s="1" a="1"/>
  <c r="G26" i="2" s="1"/>
  <c r="E25" i="2"/>
  <c r="G25" i="2" s="1" a="1"/>
  <c r="G25" i="2" s="1"/>
  <c r="G20" i="2" a="1"/>
  <c r="G20" i="2" s="1"/>
  <c r="E22" i="2"/>
  <c r="E19" i="2"/>
  <c r="G19" i="2" s="1" a="1"/>
  <c r="G19" i="2" s="1"/>
  <c r="E17" i="2"/>
  <c r="G17" i="2" s="1" a="1"/>
  <c r="G17" i="2" s="1"/>
  <c r="E16" i="2"/>
  <c r="G16" i="2" s="1" a="1"/>
  <c r="G16" i="2" s="1"/>
  <c r="E11" i="2"/>
  <c r="G11" i="2" s="1" a="1"/>
  <c r="G11" i="2" s="1"/>
  <c r="E14" i="2"/>
  <c r="G14" i="2" s="1" a="1"/>
  <c r="G14" i="2" s="1"/>
  <c r="E12" i="2"/>
  <c r="G12" i="2" s="1" a="1"/>
  <c r="G12" i="2" s="1"/>
  <c r="E6" i="2"/>
  <c r="G6" i="2" s="1" a="1"/>
  <c r="G6" i="2" s="1"/>
  <c r="E8" i="2"/>
  <c r="E9" i="2"/>
  <c r="G9" i="2" s="1" a="1"/>
  <c r="G9" i="2" s="1"/>
  <c r="E4" i="2"/>
  <c r="E3" i="2"/>
  <c r="G3" i="2" s="1" a="1"/>
  <c r="G3" i="2" s="1"/>
  <c r="G79" i="2" l="1" a="1"/>
  <c r="G79" i="2" s="1"/>
  <c r="G22" i="2" a="1"/>
  <c r="G22" i="2" s="1"/>
  <c r="F3" i="2"/>
  <c r="F4" i="2" s="1"/>
  <c r="F5" i="2" s="1"/>
  <c r="F6" i="2" s="1"/>
  <c r="F8" i="2" s="1"/>
  <c r="F9" i="2" s="1"/>
  <c r="F10" i="2" s="1"/>
  <c r="G8" i="2" a="1"/>
  <c r="G8" i="2" s="1"/>
  <c r="G4" i="2" a="1"/>
  <c r="G4" i="2" s="1"/>
  <c r="F11" i="2" l="1"/>
  <c r="F12" i="2" s="1"/>
  <c r="F13" i="2" s="1"/>
  <c r="F14" i="2" s="1"/>
  <c r="F16" i="2" s="1"/>
  <c r="F17" i="2" s="1"/>
  <c r="F19" i="2" s="1"/>
  <c r="F20" i="2" s="1"/>
  <c r="F22" i="2" s="1"/>
  <c r="F25" i="2" s="1"/>
  <c r="F26" i="2" s="1"/>
  <c r="F27" i="2" s="1"/>
  <c r="F28" i="2" s="1"/>
  <c r="F29" i="2" s="1"/>
  <c r="F31" i="2" s="1"/>
  <c r="F32" i="2" s="1"/>
  <c r="F33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7" i="2" s="1"/>
  <c r="F48" i="2" s="1"/>
  <c r="F49" i="2" s="1"/>
  <c r="F50" i="2" s="1"/>
  <c r="F51" i="2" s="1"/>
  <c r="F52" i="2" s="1"/>
  <c r="F53" i="2" s="1"/>
  <c r="F54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70" i="2" s="1"/>
  <c r="F71" i="2" s="1"/>
  <c r="F72" i="2" s="1"/>
  <c r="F73" i="2" s="1"/>
  <c r="F74" i="2" s="1"/>
  <c r="F75" i="2" s="1"/>
  <c r="F76" i="2" s="1"/>
  <c r="F77" i="2" s="1"/>
  <c r="F79" i="2" s="1"/>
  <c r="F80" i="2" s="1"/>
  <c r="F81" i="2" s="1"/>
  <c r="F82" i="2" l="1"/>
  <c r="F84" i="2" s="1"/>
  <c r="F85" i="2" s="1"/>
  <c r="F86" i="2" s="1"/>
  <c r="F87" i="2" s="1"/>
  <c r="F88" i="2" s="1"/>
  <c r="F8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<sst xmlns="http://schemas.openxmlformats.org/spreadsheetml/2006/main" count="334" uniqueCount="258">
  <si>
    <t>Sidekick 1</t>
  </si>
  <si>
    <t>Sidekick 2</t>
  </si>
  <si>
    <t>Sidekick 3</t>
  </si>
  <si>
    <t>Intro</t>
  </si>
  <si>
    <t>Baron to Mist</t>
  </si>
  <si>
    <t>Cecil</t>
  </si>
  <si>
    <t>Mist to Kaipo</t>
  </si>
  <si>
    <t>(Rydia in tow)</t>
  </si>
  <si>
    <t>Kaipo to Waterways</t>
  </si>
  <si>
    <t>Waterways to Damcyan</t>
  </si>
  <si>
    <t>Tellah</t>
  </si>
  <si>
    <t>Damcyan to Antlion Cave</t>
  </si>
  <si>
    <t>Edward</t>
  </si>
  <si>
    <t>Antlion Cave back to Kaipo</t>
  </si>
  <si>
    <t>Kaipo to Mt. Hobs</t>
  </si>
  <si>
    <t>Rydia</t>
  </si>
  <si>
    <t>Mt.Hobs to Leviathan</t>
  </si>
  <si>
    <t>Yang</t>
  </si>
  <si>
    <t>Leviathan to Mysidia</t>
  </si>
  <si>
    <t>Mysidia to Mt. Ordeals</t>
  </si>
  <si>
    <t>Palom/Porum</t>
  </si>
  <si>
    <t>Mt.Ordeals to Summit</t>
  </si>
  <si>
    <t>Summit back to Baron</t>
  </si>
  <si>
    <t>Waterways to Baron Castle</t>
  </si>
  <si>
    <t>Baron to Troia</t>
  </si>
  <si>
    <t>Troia to Dark Elf Cave</t>
  </si>
  <si>
    <t>Dark Elf Cave to Tower of Zot</t>
  </si>
  <si>
    <t>Tower of Zot aftermath</t>
  </si>
  <si>
    <t>Zot to Underworld</t>
  </si>
  <si>
    <t xml:space="preserve">Yang </t>
  </si>
  <si>
    <t>Cid</t>
  </si>
  <si>
    <t>Underworld to Dwarven Castle</t>
  </si>
  <si>
    <t>Dwarven Castle to golbez fight</t>
  </si>
  <si>
    <t>Golbez fight to tower of babil</t>
  </si>
  <si>
    <t>tower of babil back to baron</t>
  </si>
  <si>
    <t>baron to eblan castle</t>
  </si>
  <si>
    <t>eblan castle to eblan cave</t>
  </si>
  <si>
    <t>eblan cave to tower of babil</t>
  </si>
  <si>
    <t>Edge</t>
  </si>
  <si>
    <t>tower of babil back to dwarven castle</t>
  </si>
  <si>
    <t>dwarven castle to feymarch</t>
  </si>
  <si>
    <t>dwarven castle to sealed cave</t>
  </si>
  <si>
    <t>sealed cave to Mysidia</t>
  </si>
  <si>
    <t>Mysidia to the Moon</t>
  </si>
  <si>
    <t>Moon back to Giant of Babil</t>
  </si>
  <si>
    <t>FuSoYa</t>
  </si>
  <si>
    <t>Giant of Babil to Lunar Sub.</t>
  </si>
  <si>
    <t>Encounters</t>
  </si>
  <si>
    <t>Level</t>
  </si>
  <si>
    <t>XP</t>
  </si>
  <si>
    <t>Combantants</t>
  </si>
  <si>
    <t>Each</t>
  </si>
  <si>
    <t>Total So Far</t>
  </si>
  <si>
    <t>Rating</t>
  </si>
  <si>
    <t>Loot (Gold)</t>
  </si>
  <si>
    <t>Loot (Magic)</t>
  </si>
  <si>
    <t>Other</t>
  </si>
  <si>
    <t>Opening</t>
  </si>
  <si>
    <t>None</t>
  </si>
  <si>
    <t>Airship</t>
  </si>
  <si>
    <t>Minor Milestone</t>
  </si>
  <si>
    <t>Goblins</t>
  </si>
  <si>
    <t>57 GP in loose change</t>
  </si>
  <si>
    <t>Horn of Silent Alarm</t>
  </si>
  <si>
    <t>Mist Cave 1</t>
  </si>
  <si>
    <t>Treasure Chest - 10 lbs of silk (100 GP)</t>
  </si>
  <si>
    <t>Poison Dart trap - DC 15 to detect, DC 15 to disarm, DC 11 Con or 1d10 poison, Poisoned for 1 hour</t>
  </si>
  <si>
    <t>Mist Cave 2</t>
  </si>
  <si>
    <t>Mist Cave 3</t>
  </si>
  <si>
    <t>Body nearby w/ +1 weapon</t>
  </si>
  <si>
    <t>Major Milestone</t>
  </si>
  <si>
    <t>Desert 1</t>
  </si>
  <si>
    <t>Gauntlets of Ogre Power</t>
  </si>
  <si>
    <t>Baron Troops</t>
  </si>
  <si>
    <t>35 GP in loose change</t>
  </si>
  <si>
    <t>Adamantine Splint Mail</t>
  </si>
  <si>
    <t>Desert 2</t>
  </si>
  <si>
    <t>30 GP in small gems</t>
  </si>
  <si>
    <t>Underground Waterway 1</t>
  </si>
  <si>
    <t>DC 15 Perception check - 5 5lb silver bars, 125 GP</t>
  </si>
  <si>
    <t>Underground Waterway 2</t>
  </si>
  <si>
    <t>25 GP gold bracelet</t>
  </si>
  <si>
    <t>Underground Waterway 3</t>
  </si>
  <si>
    <t>10 GP lapis lazuli, 25 GP pair of bone dice</t>
  </si>
  <si>
    <t>Spell Scroll of Hold Person</t>
  </si>
  <si>
    <t>Underground Waterway 4</t>
  </si>
  <si>
    <t>Ruby of the War Mage</t>
  </si>
  <si>
    <t>Tantalizing glint</t>
  </si>
  <si>
    <t>Underground Waterway 5</t>
  </si>
  <si>
    <t>Damcyan Castle</t>
  </si>
  <si>
    <t>Blessing of the Fire Crystal</t>
  </si>
  <si>
    <t>Hovercraft Fight</t>
  </si>
  <si>
    <t>49 GP bag of gold</t>
  </si>
  <si>
    <t>Antlion Cave 1</t>
  </si>
  <si>
    <t>DC 15 Investigation - 2 potions of healing</t>
  </si>
  <si>
    <t>Antlion Cave 2</t>
  </si>
  <si>
    <t>Trap - rickety bridge DC 15 Perception to notice, one at a time or fall 6d6</t>
  </si>
  <si>
    <t>Antlion Cave 3</t>
  </si>
  <si>
    <t>56 GP in loose change and gems</t>
  </si>
  <si>
    <t>Antlion Cave 4</t>
  </si>
  <si>
    <t>Can negotiate</t>
  </si>
  <si>
    <t>Antlion</t>
  </si>
  <si>
    <t xml:space="preserve">Sand Ruby, 500 GP in assorted gems, </t>
  </si>
  <si>
    <t>Gem of Brightness, Gem of Seeing</t>
  </si>
  <si>
    <t>Grassland Fight</t>
  </si>
  <si>
    <t>91 GP, 4 potions of healing, 35 GP in gems</t>
  </si>
  <si>
    <t>a +1 weapon, Quiver of Ehlonna</t>
  </si>
  <si>
    <t>Mt. Hobs 1</t>
  </si>
  <si>
    <t>2 potions of healing, other mundane supplies</t>
  </si>
  <si>
    <t>Mt. Hobs 2</t>
  </si>
  <si>
    <t>hoard - ~2800 GP</t>
  </si>
  <si>
    <t>potion of greater healing, wraps of unarmed power +2 (or +2 weapon)</t>
  </si>
  <si>
    <t>Mt. Hobs 3</t>
  </si>
  <si>
    <t>none</t>
  </si>
  <si>
    <t>Mt. Hobs 4</t>
  </si>
  <si>
    <t>21 GP</t>
  </si>
  <si>
    <t>Mt. Hobs 5</t>
  </si>
  <si>
    <t>just nice reflection</t>
  </si>
  <si>
    <t>Fabul Entrance</t>
  </si>
  <si>
    <t>no time for loot</t>
  </si>
  <si>
    <t>Fabul Courtyard</t>
  </si>
  <si>
    <t>Fabul Planning Room</t>
  </si>
  <si>
    <t>Fabul Royal Chamber</t>
  </si>
  <si>
    <t>Fabul Crystal Room</t>
  </si>
  <si>
    <t>a +1 shield, enspelled splint armor (cure wounds)</t>
  </si>
  <si>
    <t>Blessing of the Earth Crystal</t>
  </si>
  <si>
    <t>Forest to Mt. Ordeals</t>
  </si>
  <si>
    <t>Mt. Ordeals 1</t>
  </si>
  <si>
    <t>art object worth 150 GP</t>
  </si>
  <si>
    <t>Periapt of Wound Closure</t>
  </si>
  <si>
    <t>Mt. Ordeals 2</t>
  </si>
  <si>
    <t>art object worth 175 GP</t>
  </si>
  <si>
    <t>Staff of the Adder</t>
  </si>
  <si>
    <t>Mt. Ordeals BIG</t>
  </si>
  <si>
    <t>periapt of proof against poison</t>
  </si>
  <si>
    <t>Mt. Ordeals Final</t>
  </si>
  <si>
    <t>The Mythgraven Blade</t>
  </si>
  <si>
    <t>Blessings of Mt. Ordeals, Blessing of the Water Crystal</t>
  </si>
  <si>
    <t>Waterways 1</t>
  </si>
  <si>
    <t>2 potions of healing</t>
  </si>
  <si>
    <t>Waterways 2</t>
  </si>
  <si>
    <t>300 GP in gems</t>
  </si>
  <si>
    <t>Potion of Giant Strength, Spell Scroll (level 3)</t>
  </si>
  <si>
    <t>Waterways 3</t>
  </si>
  <si>
    <t>hoard - ~5300 GP</t>
  </si>
  <si>
    <t>Spell Scroll (cantrip or lvl 1), wand of the war mage +1, staff of swarming insects</t>
  </si>
  <si>
    <t>Fight vs Baigan</t>
  </si>
  <si>
    <t>Fight vs Cagnazzo</t>
  </si>
  <si>
    <t>Forest Encounter 1</t>
  </si>
  <si>
    <t>150 GP worth of gem components</t>
  </si>
  <si>
    <t>Troia</t>
  </si>
  <si>
    <t>Blessing of the Wind Crystal</t>
  </si>
  <si>
    <t>Forest/Chocobo Encounter</t>
  </si>
  <si>
    <t>Magnetic Cave 2</t>
  </si>
  <si>
    <t>Bag of Holding w/ 77 GP</t>
  </si>
  <si>
    <t>electricity trap - DC 15 Dex or 8d6 lightning, random</t>
  </si>
  <si>
    <t>Magnetic Cave bridge</t>
  </si>
  <si>
    <t>125 GP in gems</t>
  </si>
  <si>
    <t>Magnetic Cave Riddle</t>
  </si>
  <si>
    <t>Magnetic Cave Puzzle</t>
  </si>
  <si>
    <t>Dark Elf</t>
  </si>
  <si>
    <t>hoard ~4800 in art, gems</t>
  </si>
  <si>
    <t>Candle of the Deep, Robe of Useful Items</t>
  </si>
  <si>
    <t>I want level 8</t>
  </si>
  <si>
    <t>Tower of Zot 1</t>
  </si>
  <si>
    <t>Potion of Pugilism</t>
  </si>
  <si>
    <t>Tower of Zot 2</t>
  </si>
  <si>
    <t>195 GP in spell components</t>
  </si>
  <si>
    <t>Tower of Zot 3</t>
  </si>
  <si>
    <t>750 PP</t>
  </si>
  <si>
    <t>Tower of Zot 4</t>
  </si>
  <si>
    <t>Ring of Spell Storing</t>
  </si>
  <si>
    <t>Assume straight to agart</t>
  </si>
  <si>
    <t>Underground 1</t>
  </si>
  <si>
    <t>81 GP in raw gold</t>
  </si>
  <si>
    <t>Underground 2</t>
  </si>
  <si>
    <t>Nothing</t>
  </si>
  <si>
    <t>Underground 3</t>
  </si>
  <si>
    <t xml:space="preserve">hoard - 4500 GP in metals and ores, ingots, etc. </t>
  </si>
  <si>
    <t>Moon touched sword, javelin of lightning</t>
  </si>
  <si>
    <t>Underground Transit</t>
  </si>
  <si>
    <t>gems in gullet worth 600 GP</t>
  </si>
  <si>
    <t>Uh Oh Golbez</t>
  </si>
  <si>
    <t>To Babil</t>
  </si>
  <si>
    <t>~1852 GP in valuable residue</t>
  </si>
  <si>
    <t>Flaming Trident</t>
  </si>
  <si>
    <t>Babil 1</t>
  </si>
  <si>
    <t>~400 GP in valuable junk</t>
  </si>
  <si>
    <t>Babil 2</t>
  </si>
  <si>
    <t>trap - DC 15 dex if touch cannons, not for main char.</t>
  </si>
  <si>
    <t>Babil Lugae</t>
  </si>
  <si>
    <t>~200 GP in alchemical valuables</t>
  </si>
  <si>
    <t>2 potions of healing, potion of heroism</t>
  </si>
  <si>
    <t>Babil Stairs</t>
  </si>
  <si>
    <t>231 GP</t>
  </si>
  <si>
    <t>Pearl of Power</t>
  </si>
  <si>
    <t>Babil Command</t>
  </si>
  <si>
    <t>nothing</t>
  </si>
  <si>
    <t>Castle Eblan</t>
  </si>
  <si>
    <t>no exp - treasure, plenty of traps, I'll do later</t>
  </si>
  <si>
    <t>Eblan Cave Entrance</t>
  </si>
  <si>
    <t>supplies worth 500 GP to the ninja</t>
  </si>
  <si>
    <t>4 potions of healing, 1 potion of greater healing</t>
  </si>
  <si>
    <t>Eblan Bridge</t>
  </si>
  <si>
    <t>Return to Babil 1</t>
  </si>
  <si>
    <t>none (see file for stats)</t>
  </si>
  <si>
    <t>can turn off cannons with high arcana check</t>
  </si>
  <si>
    <t>Return to Babil 2</t>
  </si>
  <si>
    <t>Return to Babil 3</t>
  </si>
  <si>
    <t>Cloak of Flame</t>
  </si>
  <si>
    <t>Path to Feymarch 1</t>
  </si>
  <si>
    <t>~378 GP in gems</t>
  </si>
  <si>
    <t>Path to Feymarch 2</t>
  </si>
  <si>
    <t>hoard - 5600 in gems and gold</t>
  </si>
  <si>
    <t>two beads of refreshment, dust of disappeance, level 3 spell scroll, mantle of spell resistance</t>
  </si>
  <si>
    <t>Path to Feymarch 3</t>
  </si>
  <si>
    <t>nada</t>
  </si>
  <si>
    <t>Ashura</t>
  </si>
  <si>
    <t>Rydia's reward</t>
  </si>
  <si>
    <t>Leviathan</t>
  </si>
  <si>
    <t>Sealed Cavern 1</t>
  </si>
  <si>
    <t>Sealed Cavern 2</t>
  </si>
  <si>
    <t>hard to say, many doors, who knows the path</t>
  </si>
  <si>
    <t>Sealed Cavern 3</t>
  </si>
  <si>
    <t>Magic Item Count</t>
  </si>
  <si>
    <t>Expected</t>
  </si>
  <si>
    <t>CR</t>
  </si>
  <si>
    <t>Treasure (Individual)</t>
  </si>
  <si>
    <t>Guidelines</t>
  </si>
  <si>
    <t>Low</t>
  </si>
  <si>
    <t>Moderate</t>
  </si>
  <si>
    <t>High</t>
  </si>
  <si>
    <t>Common</t>
  </si>
  <si>
    <t>1d6</t>
  </si>
  <si>
    <t>Uncommon</t>
  </si>
  <si>
    <t>2d6</t>
  </si>
  <si>
    <t>Rare</t>
  </si>
  <si>
    <t>3d6</t>
  </si>
  <si>
    <t>Very Rare</t>
  </si>
  <si>
    <t>4d6</t>
  </si>
  <si>
    <t>5d6</t>
  </si>
  <si>
    <t>2d8*5</t>
  </si>
  <si>
    <t>2d8*7</t>
  </si>
  <si>
    <t>2d8*9</t>
  </si>
  <si>
    <t>2d8*11</t>
  </si>
  <si>
    <t>2d8*13</t>
  </si>
  <si>
    <t>2d8*15</t>
  </si>
  <si>
    <t>2d10*5(PP)</t>
  </si>
  <si>
    <t>2d10*7 (PP)</t>
  </si>
  <si>
    <t>2d10*9 (PP)</t>
  </si>
  <si>
    <t>2d10*11 (PP)</t>
  </si>
  <si>
    <t>2d10*13 (PP)</t>
  </si>
  <si>
    <t>2d10*15 (PP)</t>
  </si>
  <si>
    <t>Starting Magic Items</t>
  </si>
  <si>
    <t>Roland</t>
  </si>
  <si>
    <t>Dread Helm</t>
  </si>
  <si>
    <t>Rusty</t>
  </si>
  <si>
    <t>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</si>
</sst>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5366-42A5-469F-A50D-41FC7C961766}">
  <dimension ref="A1:D34"/>
  <sheetViews>
    <sheetView workbookViewId="0">
      <selection activeCell="G31" sqref="G31"/>
    </sheetView>
  </sheetViews>
  <sheetFormatPr defaultRowHeight="15" x14ac:dyDescent="0.25"/>
  <cols>
    <col min="1" max="1" width="34.7109375" bestFit="1" customWidth="1"/>
    <col min="2" max="2" width="16.28515625" bestFit="1" customWidth="1"/>
    <col min="3" max="3" width="9.7109375" bestFit="1" customWidth="1"/>
    <col min="4" max="4" width="11" customWidth="1"/>
    <col min="8" max="8" width="11" bestFit="1" customWidth="1"/>
    <col min="11" max="11" width="12.7109375" bestFit="1" customWidth="1"/>
    <col min="13" max="13" width="11.140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</row>
    <row r="3" spans="1:4" x14ac:dyDescent="0.25">
      <c r="A3" t="s">
        <v>4</v>
      </c>
      <c r="B3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8</v>
      </c>
    </row>
    <row r="6" spans="1:4" x14ac:dyDescent="0.25">
      <c r="A6" t="s">
        <v>9</v>
      </c>
      <c r="B6" t="s">
        <v>10</v>
      </c>
    </row>
    <row r="7" spans="1:4" x14ac:dyDescent="0.25">
      <c r="A7" t="s">
        <v>11</v>
      </c>
      <c r="B7" t="s">
        <v>12</v>
      </c>
    </row>
    <row r="8" spans="1:4" x14ac:dyDescent="0.25">
      <c r="A8" t="s">
        <v>13</v>
      </c>
      <c r="B8" t="s">
        <v>12</v>
      </c>
    </row>
    <row r="9" spans="1:4" x14ac:dyDescent="0.25">
      <c r="A9" t="s">
        <v>14</v>
      </c>
      <c r="B9" t="s">
        <v>12</v>
      </c>
      <c r="C9" t="s">
        <v>15</v>
      </c>
    </row>
    <row r="10" spans="1:4" x14ac:dyDescent="0.25">
      <c r="A10" t="s">
        <v>16</v>
      </c>
      <c r="B10" t="s">
        <v>12</v>
      </c>
      <c r="C10" t="s">
        <v>17</v>
      </c>
      <c r="D10" t="s">
        <v>15</v>
      </c>
    </row>
    <row r="11" spans="1:4" x14ac:dyDescent="0.25">
      <c r="A11" t="s">
        <v>18</v>
      </c>
    </row>
    <row r="12" spans="1:4" x14ac:dyDescent="0.25">
      <c r="A12" t="s">
        <v>19</v>
      </c>
      <c r="B12" t="s">
        <v>20</v>
      </c>
    </row>
    <row r="13" spans="1:4" x14ac:dyDescent="0.25">
      <c r="A13" t="s">
        <v>21</v>
      </c>
      <c r="B13" t="s">
        <v>20</v>
      </c>
      <c r="C13" t="s">
        <v>10</v>
      </c>
    </row>
    <row r="14" spans="1:4" x14ac:dyDescent="0.25">
      <c r="A14" t="s">
        <v>22</v>
      </c>
      <c r="B14" t="s">
        <v>20</v>
      </c>
      <c r="C14" t="s">
        <v>10</v>
      </c>
    </row>
    <row r="15" spans="1:4" x14ac:dyDescent="0.25">
      <c r="A15" t="s">
        <v>23</v>
      </c>
      <c r="B15" t="s">
        <v>20</v>
      </c>
      <c r="C15" t="s">
        <v>10</v>
      </c>
    </row>
    <row r="16" spans="1:4" x14ac:dyDescent="0.25">
      <c r="A16" t="s">
        <v>24</v>
      </c>
      <c r="B16" t="s">
        <v>17</v>
      </c>
      <c r="C16" t="s">
        <v>10</v>
      </c>
    </row>
    <row r="17" spans="1:3" x14ac:dyDescent="0.25">
      <c r="A17" t="s">
        <v>25</v>
      </c>
      <c r="B17" t="s">
        <v>17</v>
      </c>
      <c r="C17" t="s">
        <v>10</v>
      </c>
    </row>
    <row r="18" spans="1:3" x14ac:dyDescent="0.25">
      <c r="A18" t="s">
        <v>26</v>
      </c>
      <c r="B18" t="s">
        <v>17</v>
      </c>
      <c r="C18" t="s">
        <v>10</v>
      </c>
    </row>
    <row r="19" spans="1:3" x14ac:dyDescent="0.25">
      <c r="A19" t="s">
        <v>27</v>
      </c>
      <c r="B19" t="s">
        <v>17</v>
      </c>
      <c r="C19" t="s">
        <v>5</v>
      </c>
    </row>
    <row r="20" spans="1:3" x14ac:dyDescent="0.25">
      <c r="A20" t="s">
        <v>28</v>
      </c>
      <c r="B20" t="s">
        <v>29</v>
      </c>
      <c r="C20" t="s">
        <v>30</v>
      </c>
    </row>
    <row r="21" spans="1:3" x14ac:dyDescent="0.25">
      <c r="A21" t="s">
        <v>31</v>
      </c>
      <c r="B21" t="s">
        <v>17</v>
      </c>
      <c r="C21" t="s">
        <v>30</v>
      </c>
    </row>
    <row r="22" spans="1:3" x14ac:dyDescent="0.25">
      <c r="A22" t="s">
        <v>32</v>
      </c>
      <c r="B22" t="s">
        <v>29</v>
      </c>
    </row>
    <row r="23" spans="1:3" x14ac:dyDescent="0.25">
      <c r="A23" t="s">
        <v>33</v>
      </c>
      <c r="B23" t="s">
        <v>29</v>
      </c>
      <c r="C23" t="s">
        <v>15</v>
      </c>
    </row>
    <row r="24" spans="1:3" x14ac:dyDescent="0.25">
      <c r="A24" t="s">
        <v>34</v>
      </c>
      <c r="B24" t="s">
        <v>15</v>
      </c>
    </row>
    <row r="25" spans="1:3" x14ac:dyDescent="0.25">
      <c r="A25" t="s">
        <v>35</v>
      </c>
      <c r="B25" t="s">
        <v>15</v>
      </c>
    </row>
    <row r="26" spans="1:3" x14ac:dyDescent="0.25">
      <c r="A26" t="s">
        <v>36</v>
      </c>
      <c r="B26" t="s">
        <v>15</v>
      </c>
    </row>
    <row r="27" spans="1:3" x14ac:dyDescent="0.25">
      <c r="A27" t="s">
        <v>37</v>
      </c>
      <c r="B27" t="s">
        <v>15</v>
      </c>
      <c r="C27" t="s">
        <v>38</v>
      </c>
    </row>
    <row r="28" spans="1:3" x14ac:dyDescent="0.25">
      <c r="A28" t="s">
        <v>39</v>
      </c>
      <c r="B28" t="s">
        <v>15</v>
      </c>
      <c r="C28" t="s">
        <v>38</v>
      </c>
    </row>
    <row r="29" spans="1:3" x14ac:dyDescent="0.25">
      <c r="A29" t="s">
        <v>40</v>
      </c>
      <c r="B29" t="s">
        <v>15</v>
      </c>
    </row>
    <row r="30" spans="1:3" x14ac:dyDescent="0.25">
      <c r="A30" t="s">
        <v>41</v>
      </c>
      <c r="B30" t="s">
        <v>15</v>
      </c>
    </row>
    <row r="31" spans="1:3" x14ac:dyDescent="0.25">
      <c r="A31" t="s">
        <v>42</v>
      </c>
      <c r="B31" t="s">
        <v>15</v>
      </c>
    </row>
    <row r="32" spans="1:3" x14ac:dyDescent="0.25">
      <c r="A32" t="s">
        <v>43</v>
      </c>
      <c r="B32" t="s">
        <v>15</v>
      </c>
    </row>
    <row r="33" spans="1:3" x14ac:dyDescent="0.25">
      <c r="A33" t="s">
        <v>44</v>
      </c>
      <c r="B33" t="s">
        <v>15</v>
      </c>
      <c r="C33" t="s">
        <v>45</v>
      </c>
    </row>
    <row r="34" spans="1:3" x14ac:dyDescent="0.25">
      <c r="A34" t="s">
        <v>46</v>
      </c>
      <c r="B3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115A-37FD-4ADE-BE98-DD9D59CEC02B}">
  <dimension ref="A1:J98"/>
  <sheetViews>
    <sheetView workbookViewId="0">
      <selection activeCell="I13" sqref="I13"/>
    </sheetView>
  </sheetViews>
  <sheetFormatPr defaultRowHeight="15" x14ac:dyDescent="0.25"/>
  <cols>
    <col min="1" max="1" width="25" bestFit="1" customWidth="1"/>
    <col min="4" max="4" width="12.7109375" bestFit="1" customWidth="1"/>
    <col min="6" max="6" width="11.140625" bestFit="1" customWidth="1"/>
    <col min="7" max="7" width="21.28515625" customWidth="1"/>
    <col min="8" max="8" width="80.28515625" bestFit="1" customWidth="1"/>
    <col min="9" max="9" width="73" bestFit="1" customWidth="1"/>
    <col min="10" max="10" width="88.5703125" bestFit="1" customWidth="1"/>
    <col min="11" max="12" width="19.7109375" bestFit="1" customWidth="1"/>
    <col min="13" max="13" width="12.28515625" customWidth="1"/>
    <col min="18" max="18" width="10.5703125" bestFit="1" customWidth="1"/>
  </cols>
  <sheetData>
    <row r="1" spans="1:10" s="1" customFormat="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2" t="s">
        <v>53</v>
      </c>
      <c r="H1" s="1" t="s">
        <v>54</v>
      </c>
      <c r="I1" s="1" t="s">
        <v>55</v>
      </c>
      <c r="J1" s="1" t="s">
        <v>56</v>
      </c>
    </row>
    <row r="2" spans="1:10" x14ac:dyDescent="0.25">
      <c r="B2">
        <v>3</v>
      </c>
      <c r="F2">
        <v>900</v>
      </c>
    </row>
    <row r="3" spans="1:10" x14ac:dyDescent="0.25">
      <c r="A3" t="s">
        <v>57</v>
      </c>
      <c r="B3">
        <v>3</v>
      </c>
      <c r="C3">
        <v>700</v>
      </c>
      <c r="D3">
        <v>7</v>
      </c>
      <c r="E3">
        <f>C3/D3</f>
        <v>100</v>
      </c>
      <c r="F3">
        <f>F2+E3</f>
        <v>1000</v>
      </c>
      <c r="G3" t="str" cm="1">
        <f t="array" ref="G3">_xlfn.IFS(E3&lt;150, "Below Low", E3=150, "Low", E3&lt;225, "Low-Moderate", E3=225, "Moderate", E3&lt;400, "Moderate-High", E3&gt;=400, "High")</f>
        <v>Below Low</v>
      </c>
      <c r="H3" t="s">
        <v>58</v>
      </c>
      <c r="I3" t="s">
        <v>58</v>
      </c>
    </row>
    <row r="4" spans="1:10" x14ac:dyDescent="0.25">
      <c r="A4" t="s">
        <v>59</v>
      </c>
      <c r="B4">
        <v>3</v>
      </c>
      <c r="C4">
        <v>1400</v>
      </c>
      <c r="D4">
        <v>7</v>
      </c>
      <c r="E4">
        <f>C4/D4</f>
        <v>200</v>
      </c>
      <c r="F4">
        <f>F3+E4</f>
        <v>1200</v>
      </c>
      <c r="G4" t="str" cm="1">
        <f t="array" ref="G4">_xlfn.IFS(E4&lt;150, "Below Low", E4=150, "Low", E4&lt;225, "Low-Moderate", E4=225, "Moderate", E4&lt;400, "Moderate-High", E4&gt;=400, "High")</f>
        <v>Low-Moderate</v>
      </c>
      <c r="H4" t="s">
        <v>58</v>
      </c>
      <c r="I4" t="s">
        <v>58</v>
      </c>
    </row>
    <row r="5" spans="1:10" x14ac:dyDescent="0.25">
      <c r="A5" t="s">
        <v>60</v>
      </c>
      <c r="B5">
        <v>3</v>
      </c>
      <c r="E5">
        <v>150</v>
      </c>
      <c r="F5">
        <f>F4+E5</f>
        <v>1350</v>
      </c>
    </row>
    <row r="6" spans="1:10" x14ac:dyDescent="0.25">
      <c r="A6" t="s">
        <v>61</v>
      </c>
      <c r="B6">
        <v>3</v>
      </c>
      <c r="C6">
        <v>900</v>
      </c>
      <c r="D6">
        <v>6</v>
      </c>
      <c r="E6">
        <f>C6/D6</f>
        <v>150</v>
      </c>
      <c r="F6">
        <f>F5+E6</f>
        <v>1500</v>
      </c>
      <c r="G6" t="str" cm="1">
        <f t="array" ref="G6">_xlfn.IFS(E6&lt;150, "Below Low", E6=150, "Low", E6&lt;225, "Low-Moderate", E6=225, "Moderate", E6&lt;400, "Moderate-High", E6&gt;=400, "High")</f>
        <v>Low</v>
      </c>
      <c r="H6" t="s">
        <v>62</v>
      </c>
      <c r="I6" t="s">
        <v>63</v>
      </c>
    </row>
    <row r="7" spans="1:10" x14ac:dyDescent="0.25">
      <c r="A7" t="s">
        <v>64</v>
      </c>
      <c r="H7" t="s">
        <v>65</v>
      </c>
      <c r="J7" t="s">
        <v>66</v>
      </c>
    </row>
    <row r="8" spans="1:10" x14ac:dyDescent="0.25">
      <c r="A8" t="s">
        <v>67</v>
      </c>
      <c r="B8">
        <v>3</v>
      </c>
      <c r="C8">
        <v>900</v>
      </c>
      <c r="D8">
        <v>6</v>
      </c>
      <c r="E8">
        <f>C8/D8</f>
        <v>150</v>
      </c>
      <c r="F8">
        <f>F6+E8</f>
        <v>1650</v>
      </c>
      <c r="G8" t="str" cm="1">
        <f t="array" ref="G8">_xlfn.IFS(E8&lt;150, "Below Low", E8=150, "Low", E8&lt;225, "Low-Moderate", E8=225, "Moderate", E8&lt;400, "Moderate-High", E8&gt;=400, "High")</f>
        <v>Low</v>
      </c>
    </row>
    <row r="9" spans="1:10" x14ac:dyDescent="0.25">
      <c r="A9" t="s">
        <v>68</v>
      </c>
      <c r="B9">
        <v>3</v>
      </c>
      <c r="C9">
        <v>1800</v>
      </c>
      <c r="D9">
        <v>6</v>
      </c>
      <c r="E9">
        <f>C9/D9</f>
        <v>300</v>
      </c>
      <c r="F9">
        <f>F8+E9</f>
        <v>1950</v>
      </c>
      <c r="G9" t="str" cm="1">
        <f t="array" ref="G9">_xlfn.IFS(E9&lt;150, "Below Low", E9=150, "Low", E9&lt;225, "Low-Moderate", E9=225, "Moderate", E9&lt;400, "Moderate-High", E9&gt;=400, "High")</f>
        <v>Moderate-High</v>
      </c>
      <c r="H9" t="s">
        <v>58</v>
      </c>
      <c r="I9" t="s">
        <v>69</v>
      </c>
    </row>
    <row r="10" spans="1:10" x14ac:dyDescent="0.25">
      <c r="A10" t="s">
        <v>70</v>
      </c>
      <c r="E10">
        <v>400</v>
      </c>
      <c r="F10">
        <f>F9+E10</f>
        <v>2350</v>
      </c>
    </row>
    <row r="11" spans="1:10" x14ac:dyDescent="0.25">
      <c r="A11" t="s">
        <v>71</v>
      </c>
      <c r="B11">
        <v>3</v>
      </c>
      <c r="C11">
        <v>1050</v>
      </c>
      <c r="D11">
        <v>5</v>
      </c>
      <c r="E11">
        <f>C11/D11</f>
        <v>210</v>
      </c>
      <c r="F11">
        <f>F10+E11</f>
        <v>2560</v>
      </c>
      <c r="G11" t="str" cm="1">
        <f t="array" ref="G11">_xlfn.IFS(E11&lt;150, "Below Low", E11=150, "Low", E11&lt;225, "Low-Moderate", E11=225, "Moderate", E11&lt;400, "Moderate-High", E11&gt;=400, "High")</f>
        <v>Low-Moderate</v>
      </c>
      <c r="I11" t="s">
        <v>72</v>
      </c>
    </row>
    <row r="12" spans="1:10" x14ac:dyDescent="0.25">
      <c r="A12" t="s">
        <v>73</v>
      </c>
      <c r="B12">
        <v>3</v>
      </c>
      <c r="C12">
        <v>1300</v>
      </c>
      <c r="D12">
        <v>5</v>
      </c>
      <c r="E12">
        <f>C12/D12</f>
        <v>260</v>
      </c>
      <c r="F12">
        <f>F11+E12</f>
        <v>2820</v>
      </c>
      <c r="G12" t="str" cm="1">
        <f t="array" ref="G12">_xlfn.IFS(E12&lt;150, "Below Low", E12=150, "Low", E12&lt;225, "Low-Moderate", E12=225, "Moderate", E12&lt;400, "Moderate-High", E12&gt;=400, "High")</f>
        <v>Moderate-High</v>
      </c>
      <c r="H12" t="s">
        <v>74</v>
      </c>
      <c r="I12" t="s">
        <v>75</v>
      </c>
    </row>
    <row r="13" spans="1:10" x14ac:dyDescent="0.25">
      <c r="A13" t="s">
        <v>60</v>
      </c>
      <c r="E13">
        <v>150</v>
      </c>
      <c r="F13">
        <f>F12+E13</f>
        <v>2970</v>
      </c>
    </row>
    <row r="14" spans="1:10" x14ac:dyDescent="0.25">
      <c r="A14" t="s">
        <v>76</v>
      </c>
      <c r="B14">
        <v>4</v>
      </c>
      <c r="C14">
        <v>1250</v>
      </c>
      <c r="D14">
        <v>5</v>
      </c>
      <c r="E14">
        <f>C14/D14</f>
        <v>250</v>
      </c>
      <c r="F14">
        <f t="shared" ref="F14:F17" si="0">F13+E14</f>
        <v>3220</v>
      </c>
      <c r="G14" t="str" cm="1">
        <f t="array" ref="G14">_xlfn.IFS(E14&lt;250, "Below Low", E14=250, "Low", E14&lt;375, "Low-Moderate", E14=375, "Moderate", E14&lt;500, "Moderate-High", E14&gt;=500, "High")</f>
        <v>Low</v>
      </c>
      <c r="H14" t="s">
        <v>77</v>
      </c>
    </row>
    <row r="15" spans="1:10" x14ac:dyDescent="0.25">
      <c r="A15" t="s">
        <v>78</v>
      </c>
      <c r="B15">
        <v>4</v>
      </c>
      <c r="H15" t="s">
        <v>79</v>
      </c>
    </row>
    <row r="16" spans="1:10" x14ac:dyDescent="0.25">
      <c r="A16" t="s">
        <v>80</v>
      </c>
      <c r="B16">
        <v>4</v>
      </c>
      <c r="C16">
        <v>1600</v>
      </c>
      <c r="D16">
        <v>6</v>
      </c>
      <c r="E16">
        <f>ROUND(C16/D16,0)</f>
        <v>267</v>
      </c>
      <c r="F16">
        <f>F14+E16</f>
        <v>3487</v>
      </c>
      <c r="G16" t="str" cm="1">
        <f t="array" ref="G16">_xlfn.IFS(E16&lt;250, "Below Low", E16=250, "Low", E16&lt;375, "Low-Moderate", E16=375, "Moderate", E16&lt;500, "Moderate-High", E16&gt;=500, "High")</f>
        <v>Low-Moderate</v>
      </c>
      <c r="H16" t="s">
        <v>81</v>
      </c>
    </row>
    <row r="17" spans="1:10" x14ac:dyDescent="0.25">
      <c r="A17" t="s">
        <v>82</v>
      </c>
      <c r="B17">
        <v>4</v>
      </c>
      <c r="C17">
        <v>2650</v>
      </c>
      <c r="D17">
        <v>6</v>
      </c>
      <c r="E17">
        <f>ROUND(C17/D17,0)</f>
        <v>442</v>
      </c>
      <c r="F17">
        <f t="shared" si="0"/>
        <v>3929</v>
      </c>
      <c r="G17" t="str" cm="1">
        <f t="array" ref="G17">_xlfn.IFS(E17&lt;250, "Below Low", E17=250, "Low", E17&lt;375, "Low-Moderate", E17=375, "Moderate", E17&lt;500, "Moderate-High", E17&gt;=500, "High")</f>
        <v>Moderate-High</v>
      </c>
      <c r="H17" t="s">
        <v>83</v>
      </c>
      <c r="I17" t="s">
        <v>84</v>
      </c>
    </row>
    <row r="18" spans="1:10" x14ac:dyDescent="0.25">
      <c r="A18" t="s">
        <v>85</v>
      </c>
      <c r="B18">
        <v>4</v>
      </c>
      <c r="I18" t="s">
        <v>86</v>
      </c>
      <c r="J18" t="s">
        <v>87</v>
      </c>
    </row>
    <row r="19" spans="1:10" x14ac:dyDescent="0.25">
      <c r="A19" t="s">
        <v>88</v>
      </c>
      <c r="B19">
        <v>4</v>
      </c>
      <c r="C19">
        <v>3000</v>
      </c>
      <c r="D19">
        <v>6</v>
      </c>
      <c r="E19">
        <f>ROUND(C19/D19,0)</f>
        <v>500</v>
      </c>
      <c r="F19">
        <f>F17+E19</f>
        <v>4429</v>
      </c>
      <c r="G19" t="str" cm="1">
        <f t="array" ref="G19">_xlfn.IFS(E19&lt;250, "Below Low", E19=250, "Low", E19&lt;375, "Low-Moderate", E19=375, "Moderate", E19&lt;500, "Moderate-High", E19&gt;=500, "High")</f>
        <v>High</v>
      </c>
      <c r="H19" t="s">
        <v>58</v>
      </c>
    </row>
    <row r="20" spans="1:10" x14ac:dyDescent="0.25">
      <c r="A20" t="s">
        <v>60</v>
      </c>
      <c r="B20">
        <v>4</v>
      </c>
      <c r="E20">
        <v>250</v>
      </c>
      <c r="F20">
        <f>F19+E20</f>
        <v>4679</v>
      </c>
      <c r="G20" t="str" cm="1">
        <f t="array" ref="G20">_xlfn.IFS(E20&lt;250, "Below Low", E20=250, "Low", E20&lt;375, "Low-Moderate", E20=375, "Moderate", E20&lt;500, "Moderate-High", E20&gt;=500, "High")</f>
        <v>Low</v>
      </c>
    </row>
    <row r="21" spans="1:10" x14ac:dyDescent="0.25">
      <c r="A21" t="s">
        <v>89</v>
      </c>
      <c r="J21" t="s">
        <v>90</v>
      </c>
    </row>
    <row r="22" spans="1:10" x14ac:dyDescent="0.25">
      <c r="A22" t="s">
        <v>91</v>
      </c>
      <c r="B22">
        <v>4</v>
      </c>
      <c r="C22">
        <v>2100</v>
      </c>
      <c r="D22">
        <v>6</v>
      </c>
      <c r="E22">
        <f t="shared" ref="E22:E27" si="1">ROUND(C22/D22,0)</f>
        <v>350</v>
      </c>
      <c r="F22">
        <f>F20+E22</f>
        <v>5029</v>
      </c>
      <c r="G22" t="str" cm="1">
        <f t="array" ref="G22">_xlfn.IFS(E22&lt;250, "Below Low", E22=250, "Low", E22&lt;375, "Low-Moderate", E22=375, "Moderate", E22&lt;500, "Moderate-High", E22&gt;=500, "High")</f>
        <v>Low-Moderate</v>
      </c>
      <c r="H22" t="s">
        <v>92</v>
      </c>
    </row>
    <row r="23" spans="1:10" x14ac:dyDescent="0.25">
      <c r="A23" t="s">
        <v>93</v>
      </c>
      <c r="B23">
        <v>4</v>
      </c>
      <c r="H23" t="s">
        <v>94</v>
      </c>
    </row>
    <row r="24" spans="1:10" x14ac:dyDescent="0.25">
      <c r="A24" t="s">
        <v>95</v>
      </c>
      <c r="B24">
        <v>4</v>
      </c>
      <c r="H24" t="s">
        <v>96</v>
      </c>
    </row>
    <row r="25" spans="1:10" x14ac:dyDescent="0.25">
      <c r="A25" t="s">
        <v>97</v>
      </c>
      <c r="B25">
        <v>4</v>
      </c>
      <c r="C25">
        <v>2300</v>
      </c>
      <c r="D25">
        <v>6</v>
      </c>
      <c r="E25">
        <f t="shared" si="1"/>
        <v>383</v>
      </c>
      <c r="F25">
        <f>SUM(F22+E25)</f>
        <v>5412</v>
      </c>
      <c r="G25" t="str" cm="1">
        <f t="array" ref="G25">_xlfn.IFS(E25&lt;250, "Below Low", E25=250, "Low", E25&lt;375, "Low-Moderate", E25=375, "Moderate", E25&lt;500, "Moderate-High", E25&gt;=500, "High")</f>
        <v>Moderate-High</v>
      </c>
      <c r="H25" t="s">
        <v>98</v>
      </c>
    </row>
    <row r="26" spans="1:10" x14ac:dyDescent="0.25">
      <c r="A26" t="s">
        <v>99</v>
      </c>
      <c r="B26">
        <v>4</v>
      </c>
      <c r="C26">
        <v>1400</v>
      </c>
      <c r="D26">
        <v>6</v>
      </c>
      <c r="E26">
        <f t="shared" si="1"/>
        <v>233</v>
      </c>
      <c r="F26">
        <f>SUM(F25+E26)</f>
        <v>5645</v>
      </c>
      <c r="G26" t="str" cm="1">
        <f t="array" ref="G26">_xlfn.IFS(E26&lt;250, "Below Low", E26=250, "Low", E26&lt;375, "Low-Moderate", E26=375, "Moderate", E26&lt;500, "Moderate-High", E26&gt;=500, "High")</f>
        <v>Below Low</v>
      </c>
      <c r="H26" t="s">
        <v>100</v>
      </c>
    </row>
    <row r="27" spans="1:10" x14ac:dyDescent="0.25">
      <c r="A27" t="s">
        <v>101</v>
      </c>
      <c r="B27">
        <v>4</v>
      </c>
      <c r="C27">
        <v>2900</v>
      </c>
      <c r="D27">
        <v>6</v>
      </c>
      <c r="E27">
        <f t="shared" si="1"/>
        <v>483</v>
      </c>
      <c r="F27">
        <f>SUM(F26+E27)</f>
        <v>6128</v>
      </c>
      <c r="G27" t="str" cm="1">
        <f t="array" ref="G27">_xlfn.IFS(E27&lt;250, "Below Low", E27=250, "Low", E27&lt;375, "Low-Moderate", E27=375, "Moderate", E27&lt;500, "Moderate-High", E27&gt;=500, "High")</f>
        <v>Moderate-High</v>
      </c>
      <c r="H27" t="s">
        <v>102</v>
      </c>
      <c r="I27" t="s">
        <v>103</v>
      </c>
    </row>
    <row r="28" spans="1:10" x14ac:dyDescent="0.25">
      <c r="A28" t="s">
        <v>70</v>
      </c>
      <c r="E28">
        <v>500</v>
      </c>
      <c r="F28">
        <f>SUM(F27+E28)</f>
        <v>6628</v>
      </c>
    </row>
    <row r="29" spans="1:10" x14ac:dyDescent="0.25">
      <c r="A29" t="s">
        <v>104</v>
      </c>
      <c r="B29">
        <v>5</v>
      </c>
      <c r="C29">
        <v>6900</v>
      </c>
      <c r="D29">
        <v>7</v>
      </c>
      <c r="E29">
        <f>ROUND(C29/D29,0)</f>
        <v>986</v>
      </c>
      <c r="F29">
        <f>SUM(F28+E29)</f>
        <v>7614</v>
      </c>
      <c r="G29" t="str" cm="1">
        <f t="array" ref="G29">_xlfn.IFS(E29&lt;500, "Below Low", E29=500, "Low", E29&lt;750, "Low-Moderate", E29=750, "Moderate", E29&lt;1100, "Moderate-High", E29&gt;=1100, "High")</f>
        <v>Moderate-High</v>
      </c>
      <c r="H29" t="s">
        <v>105</v>
      </c>
      <c r="I29" t="s">
        <v>106</v>
      </c>
    </row>
    <row r="30" spans="1:10" x14ac:dyDescent="0.25">
      <c r="A30" t="s">
        <v>107</v>
      </c>
      <c r="H30" t="s">
        <v>108</v>
      </c>
    </row>
    <row r="31" spans="1:10" x14ac:dyDescent="0.25">
      <c r="A31" t="s">
        <v>109</v>
      </c>
      <c r="B31">
        <v>5</v>
      </c>
      <c r="C31">
        <v>4500</v>
      </c>
      <c r="D31">
        <v>7</v>
      </c>
      <c r="E31">
        <f>ROUND(C31/D31,0)</f>
        <v>643</v>
      </c>
      <c r="F31">
        <f>SUM(F29+E31)</f>
        <v>8257</v>
      </c>
      <c r="G31" t="str" cm="1">
        <f t="array" ref="G31">_xlfn.IFS(E31&lt;500, "Below Low", E31=500, "Low", E31&lt;750, "Low-Moderate", E31=750, "Moderate", E31&lt;1100, "Moderate-High", E31&gt;=1100, "High")</f>
        <v>Low-Moderate</v>
      </c>
      <c r="H31" t="s">
        <v>110</v>
      </c>
      <c r="I31" t="s">
        <v>111</v>
      </c>
    </row>
    <row r="32" spans="1:10" x14ac:dyDescent="0.25">
      <c r="A32" t="s">
        <v>112</v>
      </c>
      <c r="B32">
        <v>5</v>
      </c>
      <c r="C32">
        <v>5400</v>
      </c>
      <c r="D32">
        <v>7</v>
      </c>
      <c r="E32">
        <f>ROUND(C32/D32,0)</f>
        <v>771</v>
      </c>
      <c r="F32">
        <f>SUM(F31+E32)</f>
        <v>9028</v>
      </c>
      <c r="G32" t="str" cm="1">
        <f t="array" ref="G32">_xlfn.IFS(E32&lt;500, "Below Low", E32=500, "Low", E32&lt;750, "Low-Moderate", E32=750, "Moderate", E32&lt;1100, "Moderate-High", E32&gt;=1100, "High")</f>
        <v>Moderate-High</v>
      </c>
      <c r="H32" t="s">
        <v>113</v>
      </c>
    </row>
    <row r="33" spans="1:10" x14ac:dyDescent="0.25">
      <c r="A33" t="s">
        <v>114</v>
      </c>
      <c r="B33">
        <v>5</v>
      </c>
      <c r="C33">
        <v>4400</v>
      </c>
      <c r="D33">
        <v>8</v>
      </c>
      <c r="E33">
        <f>ROUND(C33/D33,0)</f>
        <v>550</v>
      </c>
      <c r="F33">
        <f>SUM(F32+E33)</f>
        <v>9578</v>
      </c>
      <c r="G33" t="str" cm="1">
        <f t="array" ref="G33">_xlfn.IFS(E33&lt;500, "Below Low", E33=500, "Low", E33&lt;750, "Low-Moderate", E33=750, "Moderate", E33&lt;1100, "Moderate-High", E33&gt;=1100, "High")</f>
        <v>Low-Moderate</v>
      </c>
      <c r="H33" t="s">
        <v>115</v>
      </c>
    </row>
    <row r="34" spans="1:10" x14ac:dyDescent="0.25">
      <c r="A34" t="s">
        <v>116</v>
      </c>
      <c r="B34">
        <v>5</v>
      </c>
      <c r="J34" t="s">
        <v>117</v>
      </c>
    </row>
    <row r="35" spans="1:10" x14ac:dyDescent="0.25">
      <c r="A35" t="s">
        <v>60</v>
      </c>
      <c r="B35">
        <v>5</v>
      </c>
      <c r="D35">
        <v>8</v>
      </c>
      <c r="E35">
        <v>500</v>
      </c>
      <c r="F35">
        <f>SUM(F33+E35)</f>
        <v>10078</v>
      </c>
    </row>
    <row r="36" spans="1:10" x14ac:dyDescent="0.25">
      <c r="A36" t="s">
        <v>118</v>
      </c>
      <c r="B36">
        <v>5</v>
      </c>
      <c r="C36">
        <v>3400</v>
      </c>
      <c r="D36">
        <v>8</v>
      </c>
      <c r="E36">
        <f>C36/D36</f>
        <v>425</v>
      </c>
      <c r="F36">
        <f t="shared" ref="F36:F45" si="2">SUM(F35+E36)</f>
        <v>10503</v>
      </c>
      <c r="G36" t="str" cm="1">
        <f t="array" ref="G36">_xlfn.IFS(E36&lt;500, "Below Low", E36=500, "Low", E36&lt;750, "Low-Moderate", E36=750, "Moderate", E36&lt;1100, "Moderate-High", E36&gt;=1100, "High")</f>
        <v>Below Low</v>
      </c>
      <c r="H36" t="s">
        <v>119</v>
      </c>
    </row>
    <row r="37" spans="1:10" x14ac:dyDescent="0.25">
      <c r="A37" t="s">
        <v>120</v>
      </c>
      <c r="B37">
        <v>5</v>
      </c>
      <c r="C37">
        <v>6200</v>
      </c>
      <c r="D37">
        <v>8</v>
      </c>
      <c r="E37">
        <f>C37/D37</f>
        <v>775</v>
      </c>
      <c r="F37">
        <f t="shared" si="2"/>
        <v>11278</v>
      </c>
      <c r="G37" t="str" cm="1">
        <f t="array" ref="G37">_xlfn.IFS(E37&lt;500, "Below Low", E37=500, "Low", E37&lt;750, "Low-Moderate", E37=750, "Moderate", E37&lt;1100, "Moderate-High", E37&gt;=1100, "High")</f>
        <v>Moderate-High</v>
      </c>
      <c r="H37" t="s">
        <v>119</v>
      </c>
    </row>
    <row r="38" spans="1:10" x14ac:dyDescent="0.25">
      <c r="A38" t="s">
        <v>121</v>
      </c>
      <c r="B38">
        <v>5</v>
      </c>
      <c r="C38">
        <v>6800</v>
      </c>
      <c r="D38">
        <v>8</v>
      </c>
      <c r="E38">
        <f>C38/D38</f>
        <v>850</v>
      </c>
      <c r="F38">
        <f t="shared" si="2"/>
        <v>12128</v>
      </c>
      <c r="G38" t="str" cm="1">
        <f t="array" ref="G38">_xlfn.IFS(E38&lt;500, "Below Low", E38=500, "Low", E38&lt;750, "Low-Moderate", E38=750, "Moderate", E38&lt;1100, "Moderate-High", E38&gt;=1100, "High")</f>
        <v>Moderate-High</v>
      </c>
      <c r="H38" t="s">
        <v>119</v>
      </c>
    </row>
    <row r="39" spans="1:10" x14ac:dyDescent="0.25">
      <c r="A39" t="s">
        <v>122</v>
      </c>
      <c r="B39">
        <v>5</v>
      </c>
      <c r="C39">
        <v>4600</v>
      </c>
      <c r="D39">
        <v>8</v>
      </c>
      <c r="E39">
        <f>C39/D39</f>
        <v>575</v>
      </c>
      <c r="F39">
        <f t="shared" si="2"/>
        <v>12703</v>
      </c>
      <c r="G39" t="str" cm="1">
        <f t="array" ref="G39">_xlfn.IFS(E39&lt;500, "Below Low", E39=500, "Low", E39&lt;750, "Low-Moderate", E39=750, "Moderate", E39&lt;1100, "Moderate-High", E39&gt;=1100, "High")</f>
        <v>Low-Moderate</v>
      </c>
      <c r="H39" t="s">
        <v>119</v>
      </c>
    </row>
    <row r="40" spans="1:10" x14ac:dyDescent="0.25">
      <c r="A40" t="s">
        <v>123</v>
      </c>
      <c r="B40">
        <v>5</v>
      </c>
      <c r="C40">
        <v>7200</v>
      </c>
      <c r="D40">
        <v>8</v>
      </c>
      <c r="E40">
        <f>C40/D40</f>
        <v>900</v>
      </c>
      <c r="F40">
        <f t="shared" si="2"/>
        <v>13603</v>
      </c>
      <c r="G40" t="str" cm="1">
        <f t="array" ref="G40">_xlfn.IFS(E40&lt;500, "Below Low", E40=500, "Low", E40&lt;750, "Low-Moderate", E40=750, "Moderate", E40&lt;1100, "Moderate-High", E40&gt;=1100, "High")</f>
        <v>Moderate-High</v>
      </c>
      <c r="I40" t="s">
        <v>124</v>
      </c>
      <c r="J40" t="s">
        <v>125</v>
      </c>
    </row>
    <row r="41" spans="1:10" x14ac:dyDescent="0.25">
      <c r="A41" t="s">
        <v>70</v>
      </c>
      <c r="B41">
        <v>5</v>
      </c>
      <c r="E41">
        <v>1100</v>
      </c>
      <c r="F41">
        <f t="shared" si="2"/>
        <v>14703</v>
      </c>
      <c r="H41" t="s">
        <v>113</v>
      </c>
    </row>
    <row r="42" spans="1:10" x14ac:dyDescent="0.25">
      <c r="A42" t="s">
        <v>126</v>
      </c>
      <c r="B42">
        <v>6</v>
      </c>
      <c r="C42">
        <v>6200</v>
      </c>
      <c r="D42">
        <v>6</v>
      </c>
      <c r="E42">
        <f>ROUND(C42/D42,0)</f>
        <v>1033</v>
      </c>
      <c r="F42">
        <f t="shared" si="2"/>
        <v>15736</v>
      </c>
      <c r="G42" t="str" cm="1">
        <f t="array" ref="G42">_xlfn.IFS(E42&lt;600, "Below Low", E42=600, "Low", E42&lt;1000, "Low-Moderate", E42=1000, "Moderate", E42&lt;1400, "Moderate-High", E42&gt;=1400, "High")</f>
        <v>Moderate-High</v>
      </c>
      <c r="H42" t="s">
        <v>113</v>
      </c>
    </row>
    <row r="43" spans="1:10" x14ac:dyDescent="0.25">
      <c r="A43" t="s">
        <v>127</v>
      </c>
      <c r="B43">
        <v>6</v>
      </c>
      <c r="C43">
        <v>6400</v>
      </c>
      <c r="D43">
        <v>7</v>
      </c>
      <c r="E43">
        <f>ROUND(C43/D43,0)</f>
        <v>914</v>
      </c>
      <c r="F43">
        <f t="shared" si="2"/>
        <v>16650</v>
      </c>
      <c r="G43" t="str" cm="1">
        <f t="array" ref="G43">_xlfn.IFS(E43&lt;600, "Below Low", E43=600, "Low", E43&lt;1000, "Low-Moderate", E43=1000, "Moderate", E43&lt;1400, "Moderate-High", E43&gt;=1400, "High")</f>
        <v>Low-Moderate</v>
      </c>
      <c r="H43" t="s">
        <v>128</v>
      </c>
      <c r="I43" t="s">
        <v>129</v>
      </c>
    </row>
    <row r="44" spans="1:10" x14ac:dyDescent="0.25">
      <c r="A44" t="s">
        <v>130</v>
      </c>
      <c r="B44">
        <v>6</v>
      </c>
      <c r="C44">
        <v>4800</v>
      </c>
      <c r="D44">
        <v>7</v>
      </c>
      <c r="E44">
        <f>ROUND(C44/D44,0)</f>
        <v>686</v>
      </c>
      <c r="F44">
        <f t="shared" si="2"/>
        <v>17336</v>
      </c>
      <c r="G44" t="str" cm="1">
        <f t="array" ref="G44">_xlfn.IFS(E44&lt;600, "Below Low", E44=600, "Low", E44&lt;1000, "Low-Moderate", E44=1000, "Moderate", E44&lt;1400, "Moderate-High", E44&gt;=1400, "High")</f>
        <v>Low-Moderate</v>
      </c>
      <c r="H44" t="s">
        <v>131</v>
      </c>
      <c r="I44" t="s">
        <v>132</v>
      </c>
    </row>
    <row r="45" spans="1:10" x14ac:dyDescent="0.25">
      <c r="A45" t="s">
        <v>133</v>
      </c>
      <c r="B45">
        <v>6</v>
      </c>
      <c r="C45">
        <v>7900</v>
      </c>
      <c r="D45">
        <v>7</v>
      </c>
      <c r="E45">
        <f>ROUND(C45/D45,0)</f>
        <v>1129</v>
      </c>
      <c r="F45">
        <f t="shared" si="2"/>
        <v>18465</v>
      </c>
      <c r="G45" t="str" cm="1">
        <f t="array" ref="G45">_xlfn.IFS(E45&lt;600, "Below Low", E45=600, "Low", E45&lt;1000, "Low-Moderate", E45=1000, "Moderate", E45&lt;1400, "Moderate-High", E45&gt;=1400, "High")</f>
        <v>Moderate-High</v>
      </c>
      <c r="H45" t="s">
        <v>113</v>
      </c>
      <c r="I45" t="s">
        <v>134</v>
      </c>
    </row>
    <row r="46" spans="1:10" x14ac:dyDescent="0.25">
      <c r="A46" t="s">
        <v>135</v>
      </c>
    </row>
    <row r="47" spans="1:10" x14ac:dyDescent="0.25">
      <c r="A47" t="s">
        <v>70</v>
      </c>
      <c r="B47">
        <v>6</v>
      </c>
      <c r="E47">
        <v>1400</v>
      </c>
      <c r="F47">
        <f>SUM(F45+E47)</f>
        <v>19865</v>
      </c>
      <c r="I47" t="s">
        <v>136</v>
      </c>
      <c r="J47" t="s">
        <v>137</v>
      </c>
    </row>
    <row r="48" spans="1:10" x14ac:dyDescent="0.25">
      <c r="A48" t="s">
        <v>138</v>
      </c>
      <c r="B48">
        <v>6</v>
      </c>
      <c r="C48">
        <v>5800</v>
      </c>
      <c r="D48">
        <v>7</v>
      </c>
      <c r="E48">
        <f>ROUND(C48/D48,0)</f>
        <v>829</v>
      </c>
      <c r="F48">
        <f t="shared" ref="F48:F54" si="3">SUM(F47+E48)</f>
        <v>20694</v>
      </c>
      <c r="G48" t="str" cm="1">
        <f t="array" ref="G48">_xlfn.IFS(E48&lt;600, "Below Low", E48=600, "Low", E48&lt;1000, "Low-Moderate", E48=1000, "Moderate", E48&lt;1400, "Moderate-High", E48&gt;=1400, "High")</f>
        <v>Low-Moderate</v>
      </c>
      <c r="H48" t="s">
        <v>113</v>
      </c>
      <c r="I48" t="s">
        <v>139</v>
      </c>
    </row>
    <row r="49" spans="1:10" x14ac:dyDescent="0.25">
      <c r="A49" t="s">
        <v>140</v>
      </c>
      <c r="B49">
        <v>6</v>
      </c>
      <c r="C49">
        <v>5800</v>
      </c>
      <c r="D49">
        <v>7</v>
      </c>
      <c r="E49">
        <f>ROUND(C49/D49,0)</f>
        <v>829</v>
      </c>
      <c r="F49">
        <f t="shared" si="3"/>
        <v>21523</v>
      </c>
      <c r="G49" t="str" cm="1">
        <f t="array" ref="G49">_xlfn.IFS(E49&lt;600, "Below Low", E49=600, "Low", E49&lt;1000, "Low-Moderate", E49=1000, "Moderate", E49&lt;1400, "Moderate-High", E49&gt;=1400, "High")</f>
        <v>Low-Moderate</v>
      </c>
      <c r="H49" t="s">
        <v>141</v>
      </c>
      <c r="I49" t="s">
        <v>142</v>
      </c>
    </row>
    <row r="50" spans="1:10" x14ac:dyDescent="0.25">
      <c r="A50" t="s">
        <v>143</v>
      </c>
      <c r="B50">
        <v>6</v>
      </c>
      <c r="C50">
        <v>5400</v>
      </c>
      <c r="D50">
        <v>7</v>
      </c>
      <c r="E50">
        <f>ROUND(C50/D50,0)</f>
        <v>771</v>
      </c>
      <c r="F50">
        <f t="shared" si="3"/>
        <v>22294</v>
      </c>
      <c r="G50" t="str" cm="1">
        <f t="array" ref="G50">_xlfn.IFS(E50&lt;600, "Below Low", E50=600, "Low", E50&lt;1000, "Low-Moderate", E50=1000, "Moderate", E50&lt;1400, "Moderate-High", E50&gt;=1400, "High")</f>
        <v>Low-Moderate</v>
      </c>
      <c r="H50" t="s">
        <v>144</v>
      </c>
      <c r="I50" t="s">
        <v>145</v>
      </c>
    </row>
    <row r="51" spans="1:10" x14ac:dyDescent="0.25">
      <c r="A51" t="s">
        <v>146</v>
      </c>
      <c r="B51">
        <v>6</v>
      </c>
      <c r="C51">
        <v>4300</v>
      </c>
      <c r="D51">
        <v>7</v>
      </c>
      <c r="E51">
        <f>ROUND(C51/D51,0)</f>
        <v>614</v>
      </c>
      <c r="F51">
        <f t="shared" si="3"/>
        <v>22908</v>
      </c>
      <c r="G51" t="str" cm="1">
        <f t="array" ref="G51">_xlfn.IFS(E51&lt;600, "Below Low", E51=600, "Low", E51&lt;1000, "Low-Moderate", E51=1000, "Moderate", E51&lt;1400, "Moderate-High", E51&gt;=1400, "High")</f>
        <v>Low-Moderate</v>
      </c>
    </row>
    <row r="52" spans="1:10" x14ac:dyDescent="0.25">
      <c r="A52" t="s">
        <v>147</v>
      </c>
      <c r="B52">
        <v>6</v>
      </c>
      <c r="C52">
        <v>7200</v>
      </c>
      <c r="D52">
        <v>7</v>
      </c>
      <c r="E52">
        <f>ROUND(C52/D52,0)</f>
        <v>1029</v>
      </c>
      <c r="F52">
        <f t="shared" si="3"/>
        <v>23937</v>
      </c>
      <c r="G52" t="str" cm="1">
        <f t="array" ref="G52">_xlfn.IFS(E52&lt;600, "Below Low", E52=600, "Low", E52&lt;1000, "Low-Moderate", E52=1000, "Moderate", E52&lt;1400, "Moderate-High", E52&gt;=1400, "High")</f>
        <v>Moderate-High</v>
      </c>
    </row>
    <row r="53" spans="1:10" x14ac:dyDescent="0.25">
      <c r="A53" t="s">
        <v>70</v>
      </c>
      <c r="B53">
        <v>7</v>
      </c>
      <c r="E53">
        <v>1700</v>
      </c>
      <c r="F53">
        <f t="shared" si="3"/>
        <v>25637</v>
      </c>
    </row>
    <row r="54" spans="1:10" x14ac:dyDescent="0.25">
      <c r="A54" t="s">
        <v>148</v>
      </c>
      <c r="B54">
        <v>7</v>
      </c>
      <c r="C54">
        <v>8900</v>
      </c>
      <c r="D54">
        <v>7</v>
      </c>
      <c r="E54">
        <f>ROUND(C54/D54,0)</f>
        <v>1271</v>
      </c>
      <c r="F54">
        <f t="shared" si="3"/>
        <v>26908</v>
      </c>
      <c r="G54" t="str" cm="1">
        <f t="array" ref="G54">_xlfn.IFS(E54&lt;750, "Below Low", E54=750, "Low", E54&lt;1300, "Low-Moderate", E54=1300, "Moderate", E54&lt;1700, "Moderate-High", E54&gt;=1700, "High")</f>
        <v>Low-Moderate</v>
      </c>
      <c r="H54" t="s">
        <v>149</v>
      </c>
    </row>
    <row r="55" spans="1:10" x14ac:dyDescent="0.25">
      <c r="A55" t="s">
        <v>150</v>
      </c>
      <c r="J55" t="s">
        <v>151</v>
      </c>
    </row>
    <row r="56" spans="1:10" x14ac:dyDescent="0.25">
      <c r="A56" t="s">
        <v>152</v>
      </c>
      <c r="B56">
        <v>7</v>
      </c>
      <c r="C56">
        <v>5900</v>
      </c>
      <c r="D56">
        <v>7</v>
      </c>
      <c r="E56">
        <f>ROUND(C56/D56,0)</f>
        <v>843</v>
      </c>
      <c r="F56">
        <f>SUM(F54+E56)</f>
        <v>27751</v>
      </c>
      <c r="G56" t="str" cm="1">
        <f t="array" ref="G56">_xlfn.IFS(E56&lt;750, "Below Low", E56=750, "Low", E56&lt;1300, "Low-Moderate", E56=1300, "Moderate", E56&lt;1700, "Moderate-High", E56&gt;=1700, "High")</f>
        <v>Low-Moderate</v>
      </c>
      <c r="H56" t="s">
        <v>113</v>
      </c>
    </row>
    <row r="57" spans="1:10" x14ac:dyDescent="0.25">
      <c r="A57" t="s">
        <v>153</v>
      </c>
      <c r="B57">
        <v>7</v>
      </c>
      <c r="C57">
        <v>7800</v>
      </c>
      <c r="D57">
        <v>7</v>
      </c>
      <c r="E57">
        <f>ROUND(C57/D57,0)</f>
        <v>1114</v>
      </c>
      <c r="F57">
        <f>SUM(F56+E57)</f>
        <v>28865</v>
      </c>
      <c r="G57" t="str" cm="1">
        <f t="array" ref="G57">_xlfn.IFS(E57&lt;750, "Below Low", E57=750, "Low", E57&lt;1300, "Low-Moderate", E57=1300, "Moderate", E57&lt;1700, "Moderate-High", E57&gt;=1700, "High")</f>
        <v>Low-Moderate</v>
      </c>
      <c r="I57" t="s">
        <v>154</v>
      </c>
      <c r="J57" t="s">
        <v>155</v>
      </c>
    </row>
    <row r="58" spans="1:10" x14ac:dyDescent="0.25">
      <c r="A58" t="s">
        <v>156</v>
      </c>
      <c r="B58">
        <v>7</v>
      </c>
      <c r="C58">
        <v>3900</v>
      </c>
      <c r="D58">
        <v>7</v>
      </c>
      <c r="E58">
        <f>ROUND(C58/D58,0)</f>
        <v>557</v>
      </c>
      <c r="F58">
        <f>SUM(F57+E58)</f>
        <v>29422</v>
      </c>
      <c r="G58" t="str" cm="1">
        <f t="array" ref="G58">_xlfn.IFS(E58&lt;750, "Below Low", E58=750, "Low", E58&lt;1300, "Low-Moderate", E58=1300, "Moderate", E58&lt;1700, "Moderate-High", E58&gt;=1700, "High")</f>
        <v>Below Low</v>
      </c>
      <c r="H58" t="s">
        <v>157</v>
      </c>
    </row>
    <row r="59" spans="1:10" x14ac:dyDescent="0.25">
      <c r="A59" t="s">
        <v>158</v>
      </c>
      <c r="E59">
        <v>557</v>
      </c>
      <c r="F59">
        <f t="shared" ref="F59:F62" si="4">SUM(F58+E59)</f>
        <v>29979</v>
      </c>
    </row>
    <row r="60" spans="1:10" x14ac:dyDescent="0.25">
      <c r="A60" t="s">
        <v>159</v>
      </c>
      <c r="B60">
        <v>7</v>
      </c>
      <c r="C60">
        <v>3900</v>
      </c>
      <c r="D60">
        <v>7</v>
      </c>
      <c r="E60">
        <f t="shared" ref="E60:E61" si="5">ROUND(C60/D60,0)</f>
        <v>557</v>
      </c>
      <c r="F60">
        <f t="shared" si="4"/>
        <v>30536</v>
      </c>
      <c r="G60" t="str" cm="1">
        <f t="array" ref="G60">_xlfn.IFS(E60&lt;750, "Below Low", E60=750, "Low", E60&lt;1300, "Low-Moderate", E60=1300, "Moderate", E60&lt;1700, "Moderate-High", E60&gt;=1700, "High")</f>
        <v>Below Low</v>
      </c>
    </row>
    <row r="61" spans="1:10" x14ac:dyDescent="0.25">
      <c r="A61" t="s">
        <v>160</v>
      </c>
      <c r="B61">
        <v>7</v>
      </c>
      <c r="C61">
        <v>5900</v>
      </c>
      <c r="D61">
        <v>7</v>
      </c>
      <c r="E61">
        <f t="shared" si="5"/>
        <v>843</v>
      </c>
      <c r="F61">
        <f t="shared" si="4"/>
        <v>31379</v>
      </c>
      <c r="G61" t="str" cm="1">
        <f t="array" ref="G61">_xlfn.IFS(E61&lt;750, "Below Low", E61=750, "Low", E61&lt;1300, "Low-Moderate", E61=1300, "Moderate", E61&lt;1700, "Moderate-High", E61&gt;=1700, "High")</f>
        <v>Low-Moderate</v>
      </c>
      <c r="H61" t="s">
        <v>161</v>
      </c>
      <c r="I61" t="s">
        <v>162</v>
      </c>
    </row>
    <row r="62" spans="1:10" x14ac:dyDescent="0.25">
      <c r="A62" t="s">
        <v>60</v>
      </c>
      <c r="E62">
        <v>750</v>
      </c>
      <c r="F62">
        <f t="shared" si="4"/>
        <v>32129</v>
      </c>
    </row>
    <row r="63" spans="1:10" x14ac:dyDescent="0.25">
      <c r="A63" t="s">
        <v>163</v>
      </c>
      <c r="E63">
        <v>871</v>
      </c>
      <c r="F63">
        <f t="shared" ref="F63:F68" si="6">SUM(F62+E63)</f>
        <v>33000</v>
      </c>
    </row>
    <row r="64" spans="1:10" x14ac:dyDescent="0.25">
      <c r="A64" t="s">
        <v>164</v>
      </c>
      <c r="B64">
        <v>8</v>
      </c>
      <c r="C64">
        <v>7200</v>
      </c>
      <c r="D64">
        <v>7</v>
      </c>
      <c r="E64">
        <f>ROUND(C64/D64,0)</f>
        <v>1029</v>
      </c>
      <c r="F64">
        <f t="shared" si="6"/>
        <v>34029</v>
      </c>
      <c r="G64" t="str" cm="1">
        <f t="array" ref="G64">_xlfn.IFS(E64&lt;1000, "Below Low", E64=1000, "Low", E64&lt;1700, "Low-Moderate", E64=1700, "Moderate", E64&lt;2100, "Moderate-High", E64&gt;=2100, "High")</f>
        <v>Low-Moderate</v>
      </c>
      <c r="I64" t="s">
        <v>165</v>
      </c>
    </row>
    <row r="65" spans="1:10" x14ac:dyDescent="0.25">
      <c r="A65" t="s">
        <v>166</v>
      </c>
      <c r="B65">
        <v>8</v>
      </c>
      <c r="C65">
        <v>5900</v>
      </c>
      <c r="D65">
        <v>7</v>
      </c>
      <c r="E65">
        <f>ROUND(C65/D65,0)</f>
        <v>843</v>
      </c>
      <c r="F65">
        <f t="shared" si="6"/>
        <v>34872</v>
      </c>
      <c r="G65" t="str" cm="1">
        <f t="array" ref="G65">_xlfn.IFS(E65&lt;1000, "Below Low", E65=1000, "Low", E65&lt;1700, "Low-Moderate", E65=1700, "Moderate", E65&lt;2100, "Moderate-High", E65&gt;=2100, "High")</f>
        <v>Below Low</v>
      </c>
      <c r="H65" t="s">
        <v>167</v>
      </c>
    </row>
    <row r="66" spans="1:10" x14ac:dyDescent="0.25">
      <c r="A66" t="s">
        <v>168</v>
      </c>
      <c r="B66">
        <v>8</v>
      </c>
      <c r="C66">
        <v>7200</v>
      </c>
      <c r="D66">
        <v>7</v>
      </c>
      <c r="E66">
        <f>ROUND(C66/D66,0)</f>
        <v>1029</v>
      </c>
      <c r="F66">
        <f t="shared" si="6"/>
        <v>35901</v>
      </c>
      <c r="G66" t="str" cm="1">
        <f t="array" ref="G66">_xlfn.IFS(E66&lt;1000, "Below Low", E66=1000, "Low", E66&lt;1700, "Low-Moderate", E66=1700, "Moderate", E66&lt;2100, "Moderate-High", E66&gt;=2100, "High")</f>
        <v>Low-Moderate</v>
      </c>
      <c r="H66" t="s">
        <v>169</v>
      </c>
    </row>
    <row r="67" spans="1:10" x14ac:dyDescent="0.25">
      <c r="A67" t="s">
        <v>170</v>
      </c>
      <c r="B67">
        <v>8</v>
      </c>
      <c r="C67">
        <v>13000</v>
      </c>
      <c r="D67">
        <v>7</v>
      </c>
      <c r="E67">
        <f>ROUND(C67/D67,0)</f>
        <v>1857</v>
      </c>
      <c r="F67">
        <f t="shared" si="6"/>
        <v>37758</v>
      </c>
      <c r="G67" t="str" cm="1">
        <f t="array" ref="G67">_xlfn.IFS(E67&lt;1000, "Below Low", E67=1000, "Low", E67&lt;1700, "Low-Moderate", E67=1700, "Moderate", E67&lt;2100, "Moderate-High", E67&gt;=2100, "High")</f>
        <v>Moderate-High</v>
      </c>
      <c r="I67" t="s">
        <v>171</v>
      </c>
    </row>
    <row r="68" spans="1:10" x14ac:dyDescent="0.25">
      <c r="A68" t="s">
        <v>70</v>
      </c>
      <c r="E68">
        <v>2100</v>
      </c>
      <c r="F68">
        <f t="shared" si="6"/>
        <v>39858</v>
      </c>
    </row>
    <row r="69" spans="1:10" x14ac:dyDescent="0.25">
      <c r="A69" t="s">
        <v>172</v>
      </c>
    </row>
    <row r="70" spans="1:10" x14ac:dyDescent="0.25">
      <c r="A70" t="s">
        <v>173</v>
      </c>
      <c r="B70">
        <v>8</v>
      </c>
      <c r="C70">
        <v>8700</v>
      </c>
      <c r="D70">
        <v>7</v>
      </c>
      <c r="E70">
        <f t="shared" ref="E70:E74" si="7">ROUND(C70/D70,0)</f>
        <v>1243</v>
      </c>
      <c r="F70">
        <f>SUM(F68+E70)</f>
        <v>41101</v>
      </c>
      <c r="G70" t="str" cm="1">
        <f t="array" ref="G70">_xlfn.IFS(E70&lt;1000, "Below Low", E70=1000, "Low", E70&lt;1700, "Low-Moderate", E70=1700, "Moderate", E70&lt;2100, "Moderate-High", E70&gt;=2100, "High")</f>
        <v>Low-Moderate</v>
      </c>
      <c r="H70" t="s">
        <v>174</v>
      </c>
    </row>
    <row r="71" spans="1:10" x14ac:dyDescent="0.25">
      <c r="A71" t="s">
        <v>175</v>
      </c>
      <c r="B71">
        <v>8</v>
      </c>
      <c r="C71">
        <v>8800</v>
      </c>
      <c r="D71">
        <v>7</v>
      </c>
      <c r="E71">
        <f t="shared" si="7"/>
        <v>1257</v>
      </c>
      <c r="F71">
        <f t="shared" ref="F71:F77" si="8">SUM(F70+E71)</f>
        <v>42358</v>
      </c>
      <c r="G71" t="str" cm="1">
        <f t="array" ref="G71">_xlfn.IFS(E71&lt;1000, "Below Low", E71=1000, "Low", E71&lt;1700, "Low-Moderate", E71=1700, "Moderate", E71&lt;2100, "Moderate-High", E71&gt;=2100, "High")</f>
        <v>Low-Moderate</v>
      </c>
      <c r="H71" t="s">
        <v>176</v>
      </c>
    </row>
    <row r="72" spans="1:10" x14ac:dyDescent="0.25">
      <c r="A72" t="s">
        <v>177</v>
      </c>
      <c r="B72">
        <v>8</v>
      </c>
      <c r="C72">
        <v>10000</v>
      </c>
      <c r="D72">
        <v>7</v>
      </c>
      <c r="E72">
        <f t="shared" si="7"/>
        <v>1429</v>
      </c>
      <c r="F72">
        <f t="shared" si="8"/>
        <v>43787</v>
      </c>
      <c r="G72" t="str" cm="1">
        <f t="array" ref="G72">_xlfn.IFS(E72&lt;1000, "Below Low", E72=1000, "Low", E72&lt;1700, "Low-Moderate", E72=1700, "Moderate", E72&lt;2100, "Moderate-High", E72&gt;=2100, "High")</f>
        <v>Low-Moderate</v>
      </c>
      <c r="H72" t="s">
        <v>178</v>
      </c>
      <c r="I72" t="s">
        <v>179</v>
      </c>
    </row>
    <row r="73" spans="1:10" x14ac:dyDescent="0.25">
      <c r="A73" t="s">
        <v>180</v>
      </c>
      <c r="B73">
        <v>8</v>
      </c>
      <c r="C73">
        <v>7200</v>
      </c>
      <c r="D73">
        <v>7</v>
      </c>
      <c r="E73">
        <f t="shared" si="7"/>
        <v>1029</v>
      </c>
      <c r="F73">
        <f t="shared" si="8"/>
        <v>44816</v>
      </c>
      <c r="G73" t="str" cm="1">
        <f t="array" ref="G73">_xlfn.IFS(E73&lt;1000, "Below Low", E73=1000, "Low", E73&lt;1700, "Low-Moderate", E73=1700, "Moderate", E73&lt;2100, "Moderate-High", E73&gt;=2100, "High")</f>
        <v>Low-Moderate</v>
      </c>
      <c r="H73" t="s">
        <v>181</v>
      </c>
    </row>
    <row r="74" spans="1:10" x14ac:dyDescent="0.25">
      <c r="A74" t="s">
        <v>182</v>
      </c>
      <c r="B74">
        <v>8</v>
      </c>
      <c r="C74">
        <v>18400</v>
      </c>
      <c r="D74">
        <v>8</v>
      </c>
      <c r="E74">
        <f t="shared" si="7"/>
        <v>2300</v>
      </c>
      <c r="F74">
        <f t="shared" si="8"/>
        <v>47116</v>
      </c>
      <c r="G74" t="str" cm="1">
        <f t="array" ref="G74">_xlfn.IFS(E74&lt;1000, "Below Low", E74=1000, "Low", E74&lt;1700, "Low-Moderate", E74=1700, "Moderate", E74&lt;2100, "Moderate-High", E74&gt;=2100, "High")</f>
        <v>High</v>
      </c>
      <c r="H74" t="s">
        <v>113</v>
      </c>
    </row>
    <row r="75" spans="1:10" x14ac:dyDescent="0.25">
      <c r="A75" t="s">
        <v>60</v>
      </c>
      <c r="B75">
        <v>8</v>
      </c>
      <c r="E75">
        <v>1000</v>
      </c>
      <c r="F75">
        <f t="shared" si="8"/>
        <v>48116</v>
      </c>
    </row>
    <row r="76" spans="1:10" x14ac:dyDescent="0.25">
      <c r="A76" t="s">
        <v>183</v>
      </c>
      <c r="B76">
        <v>9</v>
      </c>
      <c r="C76">
        <v>15600</v>
      </c>
      <c r="D76">
        <v>7</v>
      </c>
      <c r="E76">
        <f>ROUND(C76/D76,0)</f>
        <v>2229</v>
      </c>
      <c r="F76">
        <f t="shared" si="8"/>
        <v>50345</v>
      </c>
      <c r="G76" t="str" cm="1">
        <f t="array" ref="G76">_xlfn.IFS(E76&lt;1300, "Below Low", E76=1300, "Low", E76&lt;2000, "Low-Moderate", E76=2000, "Moderate", E76&lt;2600, "Moderate-High", E76&gt;=2600, "High")</f>
        <v>Moderate-High</v>
      </c>
      <c r="H76" t="s">
        <v>184</v>
      </c>
      <c r="I76" t="s">
        <v>185</v>
      </c>
    </row>
    <row r="77" spans="1:10" x14ac:dyDescent="0.25">
      <c r="A77" t="s">
        <v>186</v>
      </c>
      <c r="B77">
        <v>9</v>
      </c>
      <c r="C77">
        <v>11600</v>
      </c>
      <c r="D77">
        <v>7</v>
      </c>
      <c r="E77">
        <f>ROUND(C77/D77,0)</f>
        <v>1657</v>
      </c>
      <c r="F77">
        <f t="shared" si="8"/>
        <v>52002</v>
      </c>
      <c r="G77" t="str" cm="1">
        <f t="array" ref="G77">_xlfn.IFS(E77&lt;1300, "Below Low", E77=1300, "Low", E77&lt;2000, "Low-Moderate", E77=2000, "Moderate", E77&lt;2600, "Moderate-High", E77&gt;=2600, "High")</f>
        <v>Low-Moderate</v>
      </c>
      <c r="H77" t="s">
        <v>187</v>
      </c>
    </row>
    <row r="78" spans="1:10" x14ac:dyDescent="0.25">
      <c r="A78" t="s">
        <v>188</v>
      </c>
      <c r="B78">
        <v>9</v>
      </c>
      <c r="J78" t="s">
        <v>189</v>
      </c>
    </row>
    <row r="79" spans="1:10" x14ac:dyDescent="0.25">
      <c r="A79" t="s">
        <v>190</v>
      </c>
      <c r="B79">
        <v>9</v>
      </c>
      <c r="C79">
        <v>11200</v>
      </c>
      <c r="D79">
        <v>7</v>
      </c>
      <c r="E79">
        <f t="shared" ref="E79:E88" si="9">ROUND(C79/D79,0)</f>
        <v>1600</v>
      </c>
      <c r="F79">
        <f>SUM(F77+E79)</f>
        <v>53602</v>
      </c>
      <c r="G79" t="str" cm="1">
        <f t="array" ref="G79">_xlfn.IFS(E79&lt;1300, "Below Low", E79=1300, "Low", E79&lt;2000, "Low-Moderate", E79=2000, "Moderate", E79&lt;2600, "Moderate-High", E79&gt;=2600, "High")</f>
        <v>Low-Moderate</v>
      </c>
      <c r="H79" t="s">
        <v>191</v>
      </c>
      <c r="I79" t="s">
        <v>192</v>
      </c>
    </row>
    <row r="80" spans="1:10" x14ac:dyDescent="0.25">
      <c r="A80" t="s">
        <v>193</v>
      </c>
      <c r="B80">
        <v>9</v>
      </c>
      <c r="C80">
        <v>11700</v>
      </c>
      <c r="D80">
        <v>7</v>
      </c>
      <c r="E80">
        <f t="shared" si="9"/>
        <v>1671</v>
      </c>
      <c r="F80">
        <f>SUM(F79+E80)</f>
        <v>55273</v>
      </c>
      <c r="G80" t="str" cm="1">
        <f t="array" ref="G80">_xlfn.IFS(E80&lt;1300, "Below Low", E80=1300, "Low", E80&lt;2000, "Low-Moderate", E80=2000, "Moderate", E80&lt;2600, "Moderate-High", E80&gt;=2600, "High")</f>
        <v>Low-Moderate</v>
      </c>
      <c r="H80" t="s">
        <v>194</v>
      </c>
      <c r="I80" t="s">
        <v>195</v>
      </c>
    </row>
    <row r="81" spans="1:10" x14ac:dyDescent="0.25">
      <c r="A81" t="s">
        <v>196</v>
      </c>
      <c r="B81">
        <v>9</v>
      </c>
      <c r="C81">
        <v>9000</v>
      </c>
      <c r="D81">
        <v>7</v>
      </c>
      <c r="E81">
        <f t="shared" si="9"/>
        <v>1286</v>
      </c>
      <c r="F81">
        <f>SUM(F80+E81)</f>
        <v>56559</v>
      </c>
      <c r="G81" t="str" cm="1">
        <f t="array" ref="G81">_xlfn.IFS(E81&lt;1300, "Below Low", E81=1300, "Low", E81&lt;2000, "Low-Moderate", E81=2000, "Moderate", E81&lt;2600, "Moderate-High", E81&gt;=2600, "High")</f>
        <v>Below Low</v>
      </c>
      <c r="H81" t="s">
        <v>197</v>
      </c>
    </row>
    <row r="82" spans="1:10" x14ac:dyDescent="0.25">
      <c r="A82" t="s">
        <v>60</v>
      </c>
      <c r="E82">
        <v>1300</v>
      </c>
      <c r="F82">
        <f>SUM(F81,E82)</f>
        <v>57859</v>
      </c>
    </row>
    <row r="83" spans="1:10" x14ac:dyDescent="0.25">
      <c r="A83" t="s">
        <v>198</v>
      </c>
      <c r="B83">
        <v>9</v>
      </c>
      <c r="J83" t="s">
        <v>199</v>
      </c>
    </row>
    <row r="84" spans="1:10" x14ac:dyDescent="0.25">
      <c r="A84" t="s">
        <v>200</v>
      </c>
      <c r="B84">
        <v>9</v>
      </c>
      <c r="C84">
        <v>11500</v>
      </c>
      <c r="D84">
        <v>6</v>
      </c>
      <c r="E84">
        <f t="shared" si="9"/>
        <v>1917</v>
      </c>
      <c r="F84">
        <f>SUM(F82+E84)</f>
        <v>59776</v>
      </c>
      <c r="G84" t="str" cm="1">
        <f t="array" ref="G84">_xlfn.IFS(E84&lt;1300, "Below Low", E84=1300, "Low", E84&lt;2000, "Low-Moderate", E84=2000, "Moderate", E84&lt;2600, "Moderate-High", E84&gt;=2600, "High")</f>
        <v>Low-Moderate</v>
      </c>
      <c r="H84" t="s">
        <v>201</v>
      </c>
      <c r="I84" t="s">
        <v>202</v>
      </c>
    </row>
    <row r="85" spans="1:10" x14ac:dyDescent="0.25">
      <c r="A85" t="s">
        <v>203</v>
      </c>
      <c r="B85">
        <v>9</v>
      </c>
      <c r="C85">
        <v>11700</v>
      </c>
      <c r="D85">
        <v>6</v>
      </c>
      <c r="E85">
        <f t="shared" si="9"/>
        <v>1950</v>
      </c>
      <c r="F85">
        <f t="shared" ref="F85:F96" si="10">SUM(F84+E85)</f>
        <v>61726</v>
      </c>
      <c r="G85" t="str" cm="1">
        <f t="array" ref="G85">_xlfn.IFS(E85&lt;1300, "Below Low", E85=1300, "Low", E85&lt;2000, "Low-Moderate", E85=2000, "Moderate", E85&lt;2600, "Moderate-High", E85&gt;=2600, "High")</f>
        <v>Low-Moderate</v>
      </c>
    </row>
    <row r="86" spans="1:10" x14ac:dyDescent="0.25">
      <c r="A86" t="s">
        <v>204</v>
      </c>
      <c r="B86">
        <v>9</v>
      </c>
      <c r="C86">
        <v>11600</v>
      </c>
      <c r="D86">
        <v>7</v>
      </c>
      <c r="E86">
        <f t="shared" si="9"/>
        <v>1657</v>
      </c>
      <c r="F86">
        <f t="shared" si="10"/>
        <v>63383</v>
      </c>
      <c r="G86" t="str" cm="1">
        <f t="array" ref="G86">_xlfn.IFS(E86&lt;1300, "Below Low", E86=1300, "Low", E86&lt;2000, "Low-Moderate", E86=2000, "Moderate", E86&lt;2600, "Moderate-High", E86&gt;=2600, "High")</f>
        <v>Low-Moderate</v>
      </c>
      <c r="H86" t="s">
        <v>205</v>
      </c>
      <c r="J86" t="s">
        <v>206</v>
      </c>
    </row>
    <row r="87" spans="1:10" x14ac:dyDescent="0.25">
      <c r="A87" t="s">
        <v>207</v>
      </c>
      <c r="B87">
        <v>9</v>
      </c>
      <c r="C87">
        <v>14400</v>
      </c>
      <c r="D87">
        <v>7</v>
      </c>
      <c r="E87">
        <f t="shared" si="9"/>
        <v>2057</v>
      </c>
      <c r="F87">
        <f t="shared" si="10"/>
        <v>65440</v>
      </c>
      <c r="G87" t="str" cm="1">
        <f t="array" ref="G87">_xlfn.IFS(E87&lt;1300, "Below Low", E87=1300, "Low", E87&lt;2000, "Low-Moderate", E87=2000, "Moderate", E87&lt;2600, "Moderate-High", E87&gt;=2600, "High")</f>
        <v>Moderate-High</v>
      </c>
    </row>
    <row r="88" spans="1:10" x14ac:dyDescent="0.25">
      <c r="A88" t="s">
        <v>208</v>
      </c>
      <c r="B88">
        <v>10</v>
      </c>
      <c r="C88">
        <v>18000</v>
      </c>
      <c r="D88">
        <v>7</v>
      </c>
      <c r="E88">
        <f t="shared" si="9"/>
        <v>2571</v>
      </c>
      <c r="F88">
        <f t="shared" si="10"/>
        <v>68011</v>
      </c>
      <c r="G88" t="str" cm="1">
        <f t="array" ref="G88">_xlfn.IFS(E88&lt;1300, "Below Low", E88=1300, "Low", E88&lt;2000, "Low-Moderate", E88=2000, "Moderate", E88&lt;2600, "Moderate-High", E88&gt;=2600, "High")</f>
        <v>Moderate-High</v>
      </c>
      <c r="I88" t="s">
        <v>209</v>
      </c>
    </row>
    <row r="89" spans="1:10" x14ac:dyDescent="0.25">
      <c r="A89" t="s">
        <v>70</v>
      </c>
      <c r="B89">
        <v>10</v>
      </c>
      <c r="D89">
        <v>7</v>
      </c>
      <c r="E89">
        <v>3100</v>
      </c>
      <c r="F89">
        <f t="shared" si="10"/>
        <v>71111</v>
      </c>
      <c r="G89" t="str" cm="1">
        <f t="array" ref="G89">_xlfn.IFS(E89&lt;1600, "Below Low", E89=1600, "Low", E89&lt;2300, "Low-Moderate", E89=2300, "Moderate", E89&lt;3100, "Moderate-High", E89&gt;=3100, "High")</f>
        <v>High</v>
      </c>
    </row>
    <row r="90" spans="1:10" x14ac:dyDescent="0.25">
      <c r="A90" t="s">
        <v>210</v>
      </c>
      <c r="B90">
        <v>10</v>
      </c>
      <c r="C90">
        <v>13800</v>
      </c>
      <c r="D90">
        <v>6</v>
      </c>
      <c r="E90">
        <f>C90/D90</f>
        <v>2300</v>
      </c>
      <c r="F90">
        <f t="shared" si="10"/>
        <v>73411</v>
      </c>
      <c r="G90" t="str" cm="1">
        <f t="array" ref="G90">_xlfn.IFS(E90&lt;1600, "Below Low", E90=1600, "Low", E90&lt;2300, "Low-Moderate", E90=2300, "Moderate", E90&lt;3100, "Moderate-High", E90&gt;=3100, "High")</f>
        <v>Moderate</v>
      </c>
      <c r="H90" t="s">
        <v>211</v>
      </c>
    </row>
    <row r="91" spans="1:10" x14ac:dyDescent="0.25">
      <c r="A91" t="s">
        <v>212</v>
      </c>
      <c r="B91">
        <v>10</v>
      </c>
      <c r="C91">
        <v>15000</v>
      </c>
      <c r="D91">
        <v>6</v>
      </c>
      <c r="E91">
        <f>C91/D91</f>
        <v>2500</v>
      </c>
      <c r="F91">
        <f t="shared" si="10"/>
        <v>75911</v>
      </c>
      <c r="G91" t="str" cm="1">
        <f t="array" ref="G91">_xlfn.IFS(E91&lt;1600, "Below Low", E91=1600, "Low", E91&lt;2300, "Low-Moderate", E91=2300, "Moderate", E91&lt;3100, "Moderate-High", E91&gt;=3100, "High")</f>
        <v>Moderate-High</v>
      </c>
      <c r="H91" t="s">
        <v>213</v>
      </c>
      <c r="I91" t="s">
        <v>214</v>
      </c>
    </row>
    <row r="92" spans="1:10" x14ac:dyDescent="0.25">
      <c r="A92" t="s">
        <v>215</v>
      </c>
      <c r="B92">
        <v>10</v>
      </c>
      <c r="C92">
        <v>12300</v>
      </c>
      <c r="D92">
        <v>6</v>
      </c>
      <c r="E92">
        <f>C92/D92</f>
        <v>2050</v>
      </c>
      <c r="F92">
        <f t="shared" si="10"/>
        <v>77961</v>
      </c>
      <c r="G92" t="str" cm="1">
        <f t="array" ref="G92">_xlfn.IFS(E92&lt;1600, "Below Low", E92=1600, "Low", E92&lt;2300, "Low-Moderate", E92=2300, "Moderate", E92&lt;3100, "Moderate-High", E92&gt;=3100, "High")</f>
        <v>Low-Moderate</v>
      </c>
      <c r="H92" t="s">
        <v>216</v>
      </c>
    </row>
    <row r="93" spans="1:10" x14ac:dyDescent="0.25">
      <c r="A93" t="s">
        <v>217</v>
      </c>
      <c r="B93">
        <v>10</v>
      </c>
      <c r="C93">
        <v>18000</v>
      </c>
      <c r="D93">
        <v>6</v>
      </c>
      <c r="E93">
        <f>C93/D93</f>
        <v>3000</v>
      </c>
      <c r="F93">
        <f t="shared" si="10"/>
        <v>80961</v>
      </c>
      <c r="G93" t="str" cm="1">
        <f t="array" ref="G93">_xlfn.IFS(E93&lt;1600, "Below Low", E93=1600, "Low", E93&lt;2300, "Low-Moderate", E93=2300, "Moderate", E93&lt;3100, "Moderate-High", E93&gt;=3100, "High")</f>
        <v>Moderate-High</v>
      </c>
      <c r="H93" t="s">
        <v>218</v>
      </c>
    </row>
    <row r="94" spans="1:10" x14ac:dyDescent="0.25">
      <c r="A94" t="s">
        <v>219</v>
      </c>
      <c r="B94">
        <v>10</v>
      </c>
      <c r="C94">
        <v>19000</v>
      </c>
      <c r="D94">
        <v>6</v>
      </c>
      <c r="E94">
        <f>ROUND(C94/D94,0)</f>
        <v>3167</v>
      </c>
      <c r="F94">
        <f t="shared" si="10"/>
        <v>84128</v>
      </c>
      <c r="G94" t="str" cm="1">
        <f t="array" ref="G94">_xlfn.IFS(E94&lt;1600, "Below Low", E94=1600, "Low", E94&lt;2300, "Low-Moderate", E94=2300, "Moderate", E94&lt;3100, "Moderate-High", E94&gt;=3100, "High")</f>
        <v>High</v>
      </c>
      <c r="H94" t="s">
        <v>218</v>
      </c>
    </row>
    <row r="95" spans="1:10" x14ac:dyDescent="0.25">
      <c r="A95" t="s">
        <v>60</v>
      </c>
      <c r="B95">
        <v>10</v>
      </c>
      <c r="E95">
        <v>1600</v>
      </c>
      <c r="F95">
        <f t="shared" si="10"/>
        <v>85728</v>
      </c>
    </row>
    <row r="96" spans="1:10" x14ac:dyDescent="0.25">
      <c r="A96" t="s">
        <v>220</v>
      </c>
      <c r="B96">
        <v>11</v>
      </c>
      <c r="C96">
        <v>10000</v>
      </c>
      <c r="D96">
        <v>6</v>
      </c>
      <c r="E96">
        <f>ROUND(C96/D96,0)</f>
        <v>1667</v>
      </c>
      <c r="F96">
        <f t="shared" si="10"/>
        <v>87395</v>
      </c>
      <c r="G96" t="str" cm="1">
        <f t="array" ref="G96">_xlfn.IFS(E96&lt;1900, "Below Low", E96=1900, "Low", E96&lt;2900, "Low-Moderate", E96=2900, "Moderate", E96&lt;4100, "Moderate-High", E96&gt;=4100, "High")</f>
        <v>Below Low</v>
      </c>
    </row>
    <row r="97" spans="1:8" x14ac:dyDescent="0.25">
      <c r="A97" t="s">
        <v>221</v>
      </c>
      <c r="B97">
        <v>11</v>
      </c>
      <c r="H97" t="s">
        <v>222</v>
      </c>
    </row>
    <row r="98" spans="1:8" x14ac:dyDescent="0.25">
      <c r="A98" t="s">
        <v>223</v>
      </c>
      <c r="B98">
        <v>11</v>
      </c>
      <c r="C98">
        <v>20000</v>
      </c>
      <c r="D98">
        <v>6</v>
      </c>
      <c r="E98">
        <f t="shared" ref="E98" si="11">ROUND(C98/D98,0)</f>
        <v>3333</v>
      </c>
      <c r="G98" t="str" cm="1">
        <f t="array" ref="G98">_xlfn.IFS(E98&lt;1900, "Below Low", E98=1900, "Low", E98&lt;2900, "Low-Moderate", E98=2900, "Moderate", E98&lt;4100, "Moderate-High", E98&gt;=4100, "High")</f>
        <v>Moderate-High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9C2E-E0CE-42DE-BB1C-2F18A6D656B9}">
  <dimension ref="A1:B4"/>
  <sheetViews>
    <sheetView tabSelected="1" workbookViewId="0">
      <selection activeCell="B3" sqref="B3"/>
    </sheetView>
  </sheetViews>
  <sheetFormatPr defaultRowHeight="15" x14ac:dyDescent="0.25"/>
  <cols>
    <col min="1" max="1" width="19.140625" bestFit="1" customWidth="1"/>
    <col min="2" max="2" width="11.42578125" bestFit="1" customWidth="1"/>
  </cols>
  <sheetData>
    <row r="1" spans="1:2" x14ac:dyDescent="0.25">
      <c r="A1" t="s">
        <v>253</v>
      </c>
    </row>
    <row r="2" spans="1:2" x14ac:dyDescent="0.25">
      <c r="A2" t="s">
        <v>254</v>
      </c>
      <c r="B2" t="s">
        <v>255</v>
      </c>
    </row>
    <row r="3" spans="1:2" x14ac:dyDescent="0.25">
      <c r="A3" t="s">
        <v>256</v>
      </c>
    </row>
    <row r="4" spans="1:2" x14ac:dyDescent="0.25">
      <c r="A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8183-CBC0-437E-80AC-B56D0DF78B40}">
  <dimension ref="A1:N18"/>
  <sheetViews>
    <sheetView workbookViewId="0">
      <selection activeCell="B9" sqref="B9"/>
    </sheetView>
  </sheetViews>
  <sheetFormatPr defaultRowHeight="15" x14ac:dyDescent="0.25"/>
  <cols>
    <col min="1" max="1" width="16.7109375" customWidth="1"/>
    <col min="2" max="2" width="12.28515625" customWidth="1"/>
    <col min="3" max="3" width="11" customWidth="1"/>
    <col min="6" max="6" width="19.7109375" bestFit="1" customWidth="1"/>
    <col min="8" max="8" width="10.5703125" bestFit="1" customWidth="1"/>
  </cols>
  <sheetData>
    <row r="1" spans="1:14" x14ac:dyDescent="0.25">
      <c r="A1" s="1" t="s">
        <v>224</v>
      </c>
      <c r="B1" s="1"/>
      <c r="C1" s="1" t="s">
        <v>225</v>
      </c>
      <c r="E1" t="s">
        <v>226</v>
      </c>
      <c r="F1" t="s">
        <v>227</v>
      </c>
      <c r="H1" s="1" t="s">
        <v>228</v>
      </c>
      <c r="I1" s="1"/>
      <c r="J1" s="1" t="s">
        <v>229</v>
      </c>
      <c r="K1" s="1" t="s">
        <v>230</v>
      </c>
      <c r="L1" s="1" t="s">
        <v>231</v>
      </c>
      <c r="M1" s="1"/>
      <c r="N1" s="1"/>
    </row>
    <row r="2" spans="1:14" x14ac:dyDescent="0.25">
      <c r="A2" t="s">
        <v>232</v>
      </c>
      <c r="B2">
        <v>8</v>
      </c>
      <c r="C2">
        <v>10</v>
      </c>
      <c r="E2">
        <v>0</v>
      </c>
      <c r="F2" t="s">
        <v>233</v>
      </c>
      <c r="H2" t="s">
        <v>48</v>
      </c>
      <c r="I2">
        <v>3</v>
      </c>
      <c r="J2">
        <v>150</v>
      </c>
      <c r="K2">
        <v>225</v>
      </c>
      <c r="L2">
        <v>400</v>
      </c>
      <c r="N2">
        <v>2700</v>
      </c>
    </row>
    <row r="3" spans="1:14" x14ac:dyDescent="0.25">
      <c r="A3" t="s">
        <v>234</v>
      </c>
      <c r="B3">
        <v>15</v>
      </c>
      <c r="C3">
        <v>17</v>
      </c>
      <c r="E3">
        <v>1</v>
      </c>
      <c r="F3" t="s">
        <v>235</v>
      </c>
      <c r="H3" t="s">
        <v>48</v>
      </c>
      <c r="I3">
        <v>4</v>
      </c>
      <c r="J3">
        <v>250</v>
      </c>
      <c r="K3">
        <v>375</v>
      </c>
      <c r="L3">
        <v>500</v>
      </c>
      <c r="N3">
        <v>6500</v>
      </c>
    </row>
    <row r="4" spans="1:14" x14ac:dyDescent="0.25">
      <c r="A4" t="s">
        <v>236</v>
      </c>
      <c r="B4">
        <v>6</v>
      </c>
      <c r="C4">
        <v>6</v>
      </c>
      <c r="E4">
        <v>2</v>
      </c>
      <c r="F4" t="s">
        <v>237</v>
      </c>
      <c r="H4" t="s">
        <v>48</v>
      </c>
      <c r="I4">
        <v>5</v>
      </c>
      <c r="J4">
        <v>500</v>
      </c>
      <c r="K4">
        <v>750</v>
      </c>
      <c r="L4">
        <v>1100</v>
      </c>
      <c r="N4">
        <v>14000</v>
      </c>
    </row>
    <row r="5" spans="1:14" x14ac:dyDescent="0.25">
      <c r="A5" t="s">
        <v>238</v>
      </c>
      <c r="B5">
        <v>1</v>
      </c>
      <c r="C5">
        <v>1</v>
      </c>
      <c r="E5">
        <v>3</v>
      </c>
      <c r="F5" t="s">
        <v>239</v>
      </c>
      <c r="H5" t="s">
        <v>48</v>
      </c>
      <c r="I5">
        <v>6</v>
      </c>
      <c r="J5">
        <v>600</v>
      </c>
      <c r="K5">
        <v>1000</v>
      </c>
      <c r="L5">
        <v>1400</v>
      </c>
      <c r="N5">
        <v>23000</v>
      </c>
    </row>
    <row r="6" spans="1:14" x14ac:dyDescent="0.25">
      <c r="E6">
        <v>4</v>
      </c>
      <c r="F6" t="s">
        <v>240</v>
      </c>
      <c r="H6" t="s">
        <v>48</v>
      </c>
      <c r="I6">
        <v>7</v>
      </c>
      <c r="J6">
        <v>750</v>
      </c>
      <c r="K6">
        <v>1300</v>
      </c>
      <c r="L6">
        <v>1700</v>
      </c>
      <c r="N6">
        <v>34000</v>
      </c>
    </row>
    <row r="7" spans="1:14" x14ac:dyDescent="0.25">
      <c r="E7">
        <v>5</v>
      </c>
      <c r="F7" t="s">
        <v>241</v>
      </c>
      <c r="H7" t="s">
        <v>48</v>
      </c>
      <c r="I7">
        <v>8</v>
      </c>
      <c r="J7">
        <v>1000</v>
      </c>
      <c r="K7">
        <v>1700</v>
      </c>
      <c r="L7">
        <v>2100</v>
      </c>
      <c r="N7">
        <v>48000</v>
      </c>
    </row>
    <row r="8" spans="1:14" x14ac:dyDescent="0.25">
      <c r="E8">
        <v>6</v>
      </c>
      <c r="F8" t="s">
        <v>242</v>
      </c>
      <c r="H8" t="s">
        <v>48</v>
      </c>
      <c r="I8">
        <v>9</v>
      </c>
      <c r="J8">
        <v>1300</v>
      </c>
      <c r="K8">
        <v>2000</v>
      </c>
      <c r="L8">
        <v>2600</v>
      </c>
      <c r="N8">
        <v>64000</v>
      </c>
    </row>
    <row r="9" spans="1:14" x14ac:dyDescent="0.25">
      <c r="E9">
        <v>7</v>
      </c>
      <c r="F9" t="s">
        <v>243</v>
      </c>
      <c r="H9" t="s">
        <v>48</v>
      </c>
      <c r="I9">
        <v>10</v>
      </c>
      <c r="J9">
        <v>1600</v>
      </c>
      <c r="K9">
        <v>2300</v>
      </c>
      <c r="L9">
        <v>3100</v>
      </c>
      <c r="N9">
        <v>85000</v>
      </c>
    </row>
    <row r="10" spans="1:14" x14ac:dyDescent="0.25">
      <c r="E10">
        <v>8</v>
      </c>
      <c r="F10" t="s">
        <v>244</v>
      </c>
      <c r="H10" t="s">
        <v>48</v>
      </c>
      <c r="I10">
        <v>11</v>
      </c>
      <c r="J10">
        <v>1900</v>
      </c>
      <c r="K10">
        <v>2900</v>
      </c>
      <c r="L10">
        <v>4100</v>
      </c>
      <c r="N10">
        <v>100000</v>
      </c>
    </row>
    <row r="11" spans="1:14" x14ac:dyDescent="0.25">
      <c r="E11">
        <v>9</v>
      </c>
      <c r="F11" t="s">
        <v>245</v>
      </c>
      <c r="H11" t="s">
        <v>48</v>
      </c>
      <c r="I11">
        <v>12</v>
      </c>
      <c r="J11">
        <v>2200</v>
      </c>
      <c r="K11">
        <v>3700</v>
      </c>
      <c r="L11">
        <v>4700</v>
      </c>
      <c r="N11">
        <v>120000</v>
      </c>
    </row>
    <row r="12" spans="1:14" x14ac:dyDescent="0.25">
      <c r="E12">
        <v>10</v>
      </c>
      <c r="F12" t="s">
        <v>246</v>
      </c>
      <c r="H12" t="s">
        <v>48</v>
      </c>
      <c r="I12">
        <v>13</v>
      </c>
      <c r="J12">
        <v>2600</v>
      </c>
      <c r="K12">
        <v>4200</v>
      </c>
      <c r="L12">
        <v>5400</v>
      </c>
      <c r="N12">
        <v>140000</v>
      </c>
    </row>
    <row r="13" spans="1:14" x14ac:dyDescent="0.25">
      <c r="E13">
        <v>11</v>
      </c>
      <c r="F13" t="s">
        <v>247</v>
      </c>
      <c r="H13" t="s">
        <v>48</v>
      </c>
      <c r="I13">
        <v>14</v>
      </c>
      <c r="J13">
        <v>2900</v>
      </c>
      <c r="K13">
        <v>4900</v>
      </c>
      <c r="L13">
        <v>6200</v>
      </c>
      <c r="N13">
        <v>165000</v>
      </c>
    </row>
    <row r="14" spans="1:14" x14ac:dyDescent="0.25">
      <c r="E14">
        <v>12</v>
      </c>
      <c r="F14" t="s">
        <v>248</v>
      </c>
      <c r="H14" t="s">
        <v>48</v>
      </c>
      <c r="I14">
        <v>15</v>
      </c>
      <c r="J14">
        <v>3300</v>
      </c>
      <c r="K14">
        <v>5400</v>
      </c>
      <c r="L14">
        <v>7800</v>
      </c>
      <c r="N14">
        <v>195000</v>
      </c>
    </row>
    <row r="15" spans="1:14" x14ac:dyDescent="0.25">
      <c r="E15">
        <v>13</v>
      </c>
      <c r="F15" t="s">
        <v>249</v>
      </c>
    </row>
    <row r="16" spans="1:14" x14ac:dyDescent="0.25">
      <c r="E16">
        <v>14</v>
      </c>
      <c r="F16" t="s">
        <v>250</v>
      </c>
    </row>
    <row r="17" spans="5:6" x14ac:dyDescent="0.25">
      <c r="E17">
        <v>15</v>
      </c>
      <c r="F17" t="s">
        <v>251</v>
      </c>
    </row>
    <row r="18" spans="5:6" x14ac:dyDescent="0.25">
      <c r="E18">
        <v>16</v>
      </c>
      <c r="F18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Encounter Tracking</vt:lpstr>
      <vt:lpstr>Sheet1</vt:lpstr>
      <vt:lpstr>Other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Brooks</dc:creator>
  <cp:keywords/>
  <dc:description/>
  <cp:lastModifiedBy>Jordan Brooks</cp:lastModifiedBy>
  <cp:revision/>
  <dcterms:created xsi:type="dcterms:W3CDTF">2026-05-01T22:46:58Z</dcterms:created>
  <dcterms:modified xsi:type="dcterms:W3CDTF">2026-09-21T01:09:20Z</dcterms:modified>
  <cp:category/>
  <cp:contentStatus/>
</cp:coreProperties>
</file>